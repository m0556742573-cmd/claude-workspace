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אינדקס" sheetId="1" r:id="rId5"/>
    <sheet state="hidden" name="תבנית" sheetId="2" r:id="rId6"/>
    <sheet state="visible" name="אנשי קשר" sheetId="3" r:id="rId7"/>
    <sheet state="visible" name="בק אנד (סוגי ישיות)" sheetId="4" r:id="rId8"/>
    <sheet state="visible" name="לקוחות" sheetId="5" r:id="rId9"/>
    <sheet state="visible" name="רשימות" sheetId="6" r:id="rId10"/>
    <sheet state="visible" name="קטלוג שירותים" sheetId="7" r:id="rId11"/>
    <sheet state="visible" name="עסקאות" sheetId="8" r:id="rId12"/>
    <sheet state="visible" name="תקשורת" sheetId="9" r:id="rId13"/>
    <sheet state="visible" name="משימות" sheetId="10" r:id="rId14"/>
    <sheet state="visible" name="עובד משרד" sheetId="11" r:id="rId15"/>
    <sheet state="visible" name="תבניות חובת דיווח" sheetId="12" r:id="rId16"/>
    <sheet state="visible" name="הגשות" sheetId="13" r:id="rId17"/>
    <sheet state="visible" name="דרישת חומר תקופתי" sheetId="14" r:id="rId18"/>
    <sheet state="visible" name="מסמכים" sheetId="15" r:id="rId19"/>
    <sheet state="visible" name="אישורים והוראות לקוח" sheetId="16" r:id="rId20"/>
    <sheet state="visible" name="חובות מס לתשלום" sheetId="17" r:id="rId21"/>
    <sheet state="visible" name="תבנית חובת תשלום" sheetId="18" r:id="rId22"/>
    <sheet state="visible" name="הרצת שכר" sheetId="19" r:id="rId23"/>
    <sheet state="visible" name="רשימת עובדי לקוחות" sheetId="20" r:id="rId24"/>
  </sheets>
  <definedNames>
    <definedName hidden="1" localSheetId="4" name="_xlnm._FilterDatabase">'לקוחות'!$F$9:$N$100</definedName>
  </definedNames>
  <calcPr/>
</workbook>
</file>

<file path=xl/sharedStrings.xml><?xml version="1.0" encoding="utf-8"?>
<sst xmlns="http://schemas.openxmlformats.org/spreadsheetml/2006/main" count="1768" uniqueCount="493">
  <si>
    <t>מעבר לדף הבית</t>
  </si>
  <si>
    <t>מעבר מהיר לגיליון:</t>
  </si>
  <si>
    <t>🏠 את/ה באינדקס</t>
  </si>
  <si>
    <t>ישעי קליין</t>
  </si>
  <si>
    <t>ZDSFA</t>
  </si>
  <si>
    <t xml:space="preserve">אנשי קשר </t>
  </si>
  <si>
    <t>משימות</t>
  </si>
  <si>
    <t>מעבר לתהליכי עבודה</t>
  </si>
  <si>
    <t>מעבר לטבלת השדות</t>
  </si>
  <si>
    <t>DFA</t>
  </si>
  <si>
    <t>אינדקס גיליונות - ישויות לאיפיון</t>
  </si>
  <si>
    <t>מטרות-העל של הפרויקט:</t>
  </si>
  <si>
    <t>https://docs.google.com/open?id=16lBROr6DmzGS3AaRedcxxBk5nYQMegngfhrp90Jz1JQ</t>
  </si>
  <si>
    <t>שם הגיליון (ישות) החדש:</t>
  </si>
  <si>
    <t>לחצו על כפתור 'הוסף גיליון' (לאחר הזנת שם) - הכפתור נוסף לאחר פתיחה ב-Google Sheets</t>
  </si>
  <si>
    <t>שם הגיליון (ישות) למחיקה:</t>
  </si>
  <si>
    <t>לחצו על כפתור 'מחק גיליון' - הפעולה בלתי הפיכה, תתבקשו לאשר</t>
  </si>
  <si>
    <t>#</t>
  </si>
  <si>
    <t>שם הגיליון (ישות)</t>
  </si>
  <si>
    <t>קישור</t>
  </si>
  <si>
    <t>לקוחות</t>
  </si>
  <si>
    <t>קבוצת שדות</t>
  </si>
  <si>
    <t xml:space="preserve">שם שדה </t>
  </si>
  <si>
    <t>סוג שדה</t>
  </si>
  <si>
    <t>חובה/רשות</t>
  </si>
  <si>
    <t>ערכים אפשריים</t>
  </si>
  <si>
    <t>הערות</t>
  </si>
  <si>
    <t>בק אנד (מערכת)</t>
  </si>
  <si>
    <t>הרשאות צפייה</t>
  </si>
  <si>
    <t>הרשאות עריכה</t>
  </si>
  <si>
    <t>בק אנד (סוגי יישויות)</t>
  </si>
  <si>
    <t>הרשאות צפייה 2</t>
  </si>
  <si>
    <t>הרשאות עריכה 2</t>
  </si>
  <si>
    <t>שם התהליך</t>
  </si>
  <si>
    <t>סוג טריגר</t>
  </si>
  <si>
    <t>פרטי טריגר</t>
  </si>
  <si>
    <t>תנאי הפעלה (שדה+לוגיקה)</t>
  </si>
  <si>
    <t>קטלוג שירותים</t>
  </si>
  <si>
    <t>סטטוס איפיון</t>
  </si>
  <si>
    <t xml:space="preserve">שם תהליך </t>
  </si>
  <si>
    <t xml:space="preserve">סוג פעולה </t>
  </si>
  <si>
    <t xml:space="preserve">תיואר פעולה קצר </t>
  </si>
  <si>
    <t xml:space="preserve">תיאור מפורט </t>
  </si>
  <si>
    <t>עסקאות</t>
  </si>
  <si>
    <t xml:space="preserve">שם קבוצה </t>
  </si>
  <si>
    <t xml:space="preserve">חוזת או לא </t>
  </si>
  <si>
    <t>תקשורת</t>
  </si>
  <si>
    <t xml:space="preserve">פרטי איש קשר </t>
  </si>
  <si>
    <t>קישור ללקוח</t>
  </si>
  <si>
    <t>קישור למופע אחר</t>
  </si>
  <si>
    <t>עובד משרד</t>
  </si>
  <si>
    <t>יישות לקישור</t>
  </si>
  <si>
    <t>תבניות חובת דיווח</t>
  </si>
  <si>
    <t>הגשות</t>
  </si>
  <si>
    <t>דרישת חומר תקופתי</t>
  </si>
  <si>
    <t>מסמכים</t>
  </si>
  <si>
    <t>אישורים והוראות לקוח</t>
  </si>
  <si>
    <t xml:space="preserve">סוג יישיות </t>
  </si>
  <si>
    <t xml:space="preserve">שם הסוג </t>
  </si>
  <si>
    <t>חובות מס לתשלום</t>
  </si>
  <si>
    <t>שדה טקסט</t>
  </si>
  <si>
    <t>תבנית חובת תשלום</t>
  </si>
  <si>
    <t>הרצת שכר</t>
  </si>
  <si>
    <t>רשימת עובדי לקוחות</t>
  </si>
  <si>
    <t xml:space="preserve">שם פרטי </t>
  </si>
  <si>
    <t>פרטי תקשורת</t>
  </si>
  <si>
    <t xml:space="preserve">שם משפחה </t>
  </si>
  <si>
    <t>שירותים רלוונטיים</t>
  </si>
  <si>
    <t>קישור למופעים מרובים</t>
  </si>
  <si>
    <t xml:space="preserve">תפקיד </t>
  </si>
  <si>
    <t>תיבת בחירה</t>
  </si>
  <si>
    <t xml:space="preserve">הרשאות </t>
  </si>
  <si>
    <t>בחירה מרובה</t>
  </si>
  <si>
    <t xml:space="preserve">מידע נוסף </t>
  </si>
  <si>
    <t>איזור שדה טקסט</t>
  </si>
  <si>
    <t>תפקיד בהקלדה חופשית</t>
  </si>
  <si>
    <t>בחירה מרובה חופשית</t>
  </si>
  <si>
    <t>פירוט הרשאות</t>
  </si>
  <si>
    <t>תחומי אחריות</t>
  </si>
  <si>
    <t xml:space="preserve">סוג </t>
  </si>
  <si>
    <t>וואצאפ/פקס/אימייל/טלפון</t>
  </si>
  <si>
    <t xml:space="preserve">דוא"ל </t>
  </si>
  <si>
    <t>שדה דואר אלקטרוני</t>
  </si>
  <si>
    <t xml:space="preserve">מטרת היישות יישות לקוח מאגדת את כל המידע שהמשרד שומר על לקוח ממידע שימושי ועד מידע כללי כל מידע שהוא קשור לעבודה סביב לקוח קיים פה כל מידע שחשוב לשמור על העסק החל ממידע גולמי ועד למשתנה ממססימאות ועד מידע יבש </t>
  </si>
  <si>
    <t>טלפון</t>
  </si>
  <si>
    <t>שדה טלפון</t>
  </si>
  <si>
    <t>טי</t>
  </si>
  <si>
    <t>הערה מקצועית</t>
  </si>
  <si>
    <t xml:space="preserve">תוכן ההערה </t>
  </si>
  <si>
    <t xml:space="preserve">עדיפות תקשורת </t>
  </si>
  <si>
    <t>צ'ק בוקס</t>
  </si>
  <si>
    <t>מפתח / מנהל מערכת, בעל/ת המשרד, מנהל צוות, מנהל/ת חשבונות, חשב/ת שכר, יועץ/ת מס, מתמחה, מנהל/ת משרד, "צופה / רו""ח חיצוני", מערכת / אוטומציה</t>
  </si>
  <si>
    <t>מפתח / מנהל מערכת, בעל/ת המשרד, מנהל צוות, מנהל/ת חשבונות, חשב/ת שכר, יועץ/ת מס, מנהל/ת משרד, מערכת / אוטומציה</t>
  </si>
  <si>
    <t xml:space="preserve">שם לקוח כאיש קשר </t>
  </si>
  <si>
    <t>מופע או שדה</t>
  </si>
  <si>
    <t>בעת יצירת המופע</t>
  </si>
  <si>
    <t>באפיון</t>
  </si>
  <si>
    <t>המרת מופע</t>
  </si>
  <si>
    <t>יצירת מופע ביישות "איש קשר עם פרטיו של הלוקח וסימון כבעלים</t>
  </si>
  <si>
    <t>פרטים איישים של לקוח מאגד תחתיו את המידע האישי על הלקוח עצמו זה שהוא חתום על העסקאות ונושא את האחריות האישית לכל ההסכמים</t>
  </si>
  <si>
    <t>פרטים אישיים לקוח</t>
  </si>
  <si>
    <t>מס'</t>
  </si>
  <si>
    <t>בחירה מטווח מספרים</t>
  </si>
  <si>
    <t>מספר בלבד</t>
  </si>
  <si>
    <t>מיספור חשיבות</t>
  </si>
  <si>
    <t>פרטים החוקיים של היישות (העסק כהגדרתו החוקית)</t>
  </si>
  <si>
    <t xml:space="preserve">פרטי יישות משפטית </t>
  </si>
  <si>
    <t>בתוקף?</t>
  </si>
  <si>
    <t>שדה נוסחה</t>
  </si>
  <si>
    <t>מחשב תוקף טקסטואלי</t>
  </si>
  <si>
    <t>חישוב עם עדיין בתוקף</t>
  </si>
  <si>
    <t xml:space="preserve">פריטיו המלאים על של העסק ועל העסק </t>
  </si>
  <si>
    <t>פרטי העסק</t>
  </si>
  <si>
    <t xml:space="preserve">תאריך החלה </t>
  </si>
  <si>
    <t>שדה תאריך/זמן</t>
  </si>
  <si>
    <t xml:space="preserve">פרטי התקשורת הכללים של העסק הרשמיים ולא של איש קשר ספציפי </t>
  </si>
  <si>
    <t xml:space="preserve">פרטי תיקשורת כלליים </t>
  </si>
  <si>
    <t>תאריך פקיעת תוקף</t>
  </si>
  <si>
    <t xml:space="preserve">פרטין של הלקוח מול רשיות החוק והמדינה </t>
  </si>
  <si>
    <t>פרטים מול הרשויות</t>
  </si>
  <si>
    <t>בתוקף ? מוסתר</t>
  </si>
  <si>
    <t>מחשב תוקף בינארי 0/1</t>
  </si>
  <si>
    <t xml:space="preserve">פרטי חשבונות הבנק של העסק קבוצה חוזרת כדיעלתת אפשרות להוסיף חשבונות בלי הגבלה </t>
  </si>
  <si>
    <t>פרטי חשבון בנק</t>
  </si>
  <si>
    <t>מידע חשוב</t>
  </si>
  <si>
    <t xml:space="preserve">שם מערכת </t>
  </si>
  <si>
    <t>מפתח / מנהל מערכת, בעל/ת המשרד, מנהל צוות, מנהל/ת משרד</t>
  </si>
  <si>
    <t xml:space="preserve">פרטי העסק כלקוח מתגייות ועד איש קשר רשמי וכו' </t>
  </si>
  <si>
    <t>פרטי לקוח</t>
  </si>
  <si>
    <t>שם משתמש</t>
  </si>
  <si>
    <t xml:space="preserve">קבוצה חוזרת של הערות עם תוקף שיהי מידע רלוונטי לזמנים לדוגמא המנכ"ל בחופשא בין תאריכים X יש ליהות בקשר עם Y </t>
  </si>
  <si>
    <t>סיסמה</t>
  </si>
  <si>
    <t>שדה סיסמא</t>
  </si>
  <si>
    <t>מכיל את הקישוריות למעבר מהיר בין תכנים של הלקוח ביישות אחרות</t>
  </si>
  <si>
    <t>קישורים</t>
  </si>
  <si>
    <t>סוג היזדהות</t>
  </si>
  <si>
    <t xml:space="preserve">סיסמאות וכ' </t>
  </si>
  <si>
    <t xml:space="preserve">תוקף </t>
  </si>
  <si>
    <t xml:space="preserve">תיוג </t>
  </si>
  <si>
    <t>שם העסק (מותג)</t>
  </si>
  <si>
    <t>מפתח / מנהל מערכת, בעל/ת המשרד, מנהל צוות, מנהל/ת חשבונות, חשב/ת שכר, יועץ/ת מס, מתמחה, מנהל/ת משרד, "צופה / רו""ח חיצוני", לקוח (פורטל)</t>
  </si>
  <si>
    <t xml:space="preserve">כתובת העסק </t>
  </si>
  <si>
    <t>בחירת כתובת</t>
  </si>
  <si>
    <t>אתר אינטרנט</t>
  </si>
  <si>
    <t>שדה הייפר קישור</t>
  </si>
  <si>
    <t xml:space="preserve">תיאור פעילות העסק </t>
  </si>
  <si>
    <t>שם הבנק</t>
  </si>
  <si>
    <t>מפתח / מנהל מערכת, בעל/ת המשרד, מנהל צוות, מנהל/ת חשבונות, חשב/ת שכר, יועץ/ת מס, מנהל/ת משרד, "צופה / רו""ח חיצוני", מערכת / אוטומציה</t>
  </si>
  <si>
    <t>קוד הבנק</t>
  </si>
  <si>
    <t>מס' סניף</t>
  </si>
  <si>
    <t>מס' חשבון</t>
  </si>
  <si>
    <t>שם בעל החשבון</t>
  </si>
  <si>
    <t xml:space="preserve">ייעוד </t>
  </si>
  <si>
    <t>כל הסוגים ואחר</t>
  </si>
  <si>
    <t>תגיות</t>
  </si>
  <si>
    <t>שם העסק (מוכר ברשוייות)</t>
  </si>
  <si>
    <t>בשונה משם העסק שהוא שם ממתוג</t>
  </si>
  <si>
    <t>מפתח / מנהל מערכת, בעל/ת המשרד, מנהל צוות, מנהל/ת חשבונות, חשב/ת שכר, יועץ/ת מס, מתמחה, מנהל/ת משרד, "צופה / רו""ח חיצוני"</t>
  </si>
  <si>
    <t>מפתח / מנהל מערכת, בעל/ת המשרד, מנהל/ת משרד</t>
  </si>
  <si>
    <t xml:space="preserve">סוג יישות משפטית </t>
  </si>
  <si>
    <r>
      <rPr>
        <rFont val="Roboto"/>
        <color rgb="FF434343"/>
        <sz val="10.0"/>
        <u/>
      </rPr>
      <t>יישות לקישור</t>
    </r>
    <r>
      <rPr>
        <rFont val="Roboto"/>
        <color rgb="FF1F1F1F"/>
        <sz val="10.0"/>
      </rPr>
      <t xml:space="preserve"> בק אנד למופע שנושא את היישות הרלוונטית</t>
    </r>
  </si>
  <si>
    <t xml:space="preserve">תחום עיסוק </t>
  </si>
  <si>
    <t xml:space="preserve">כל תחומי העיסוק </t>
  </si>
  <si>
    <t xml:space="preserve">תת תחום </t>
  </si>
  <si>
    <t>פירוט</t>
  </si>
  <si>
    <t xml:space="preserve">תאריך פתיחת עסק </t>
  </si>
  <si>
    <t>ח.פ. (מספר תיק)</t>
  </si>
  <si>
    <t xml:space="preserve">רק מספריים </t>
  </si>
  <si>
    <t xml:space="preserve">וודוא כערך חד ערכי </t>
  </si>
  <si>
    <t xml:space="preserve">קוד סיווג כלכלי </t>
  </si>
  <si>
    <t>שם רואה חשבון מבקר</t>
  </si>
  <si>
    <t xml:space="preserve">חברה בע"מ </t>
  </si>
  <si>
    <t xml:space="preserve">קישור לאיש קשר </t>
  </si>
  <si>
    <t>מחזור מע"מ</t>
  </si>
  <si>
    <t>תדירות דיווח</t>
  </si>
  <si>
    <t xml:space="preserve">מחזור צפוי </t>
  </si>
  <si>
    <t xml:space="preserve">פטור - מורשה </t>
  </si>
  <si>
    <t>סטטוס לקוח</t>
  </si>
  <si>
    <t>איש קשר ראשי</t>
  </si>
  <si>
    <t>איש קשר</t>
  </si>
  <si>
    <t>עובד אחראי</t>
  </si>
  <si>
    <t>בחירת משתמש</t>
  </si>
  <si>
    <t>עובדי משרד</t>
  </si>
  <si>
    <t>תגיות לקוח</t>
  </si>
  <si>
    <t>הערות כלליות</t>
  </si>
  <si>
    <t>סיכום הערות מיקצועיות</t>
  </si>
  <si>
    <t xml:space="preserve">פעילות אחרונה </t>
  </si>
  <si>
    <t>תאריך תחילת התקשרות</t>
  </si>
  <si>
    <t>וותק</t>
  </si>
  <si>
    <t>טקסטואללי</t>
  </si>
  <si>
    <t xml:space="preserve">האם יש הערה מיצקעית בתוקף </t>
  </si>
  <si>
    <t>0/1</t>
  </si>
  <si>
    <t xml:space="preserve">מוסתר מחשב האם יש הערה מיקצועית בתוקף </t>
  </si>
  <si>
    <t>וותק מספרי לחישוב</t>
  </si>
  <si>
    <t xml:space="preserve"> מספרי בלבד ברבעונים 0.25</t>
  </si>
  <si>
    <t>מוסתר</t>
  </si>
  <si>
    <t>סיבה עזיבה</t>
  </si>
  <si>
    <t>מידע נוסף (על עזיבה)</t>
  </si>
  <si>
    <t>טלפון עסקי(רשמי)</t>
  </si>
  <si>
    <t>שם ערוץ</t>
  </si>
  <si>
    <t>טלפון נוסף (אופציונלי)</t>
  </si>
  <si>
    <t>רק אם יש טלפון נוסף</t>
  </si>
  <si>
    <t>אימייל</t>
  </si>
  <si>
    <t>תיאור</t>
  </si>
  <si>
    <t>ראשי?</t>
  </si>
  <si>
    <t>מפתח / מנהל מערכת, בעל/ת המשרד, מנהל צוות, מנהל/ת משרד, מנהל/ת חשבונות, חשב/ת שכר, יועץ/ת מס</t>
  </si>
  <si>
    <t>פעיל?</t>
  </si>
  <si>
    <t xml:space="preserve">רק אם יש אימייל נוסף </t>
  </si>
  <si>
    <t>אימייל ראשי</t>
  </si>
  <si>
    <t>שם  פרטי</t>
  </si>
  <si>
    <t>מפתח / מנהל מערכת, בעל/ת המשרד, מנהל צוות, מנהל/ת חשבונות, חשב/ת שכר, יועץ/ת מס, מנהל/ת משרד</t>
  </si>
  <si>
    <t>מפתח / מנהל מערכת, בעל/ת המשרד, מנהל/ת משרד, מנהל/ת חשבונות</t>
  </si>
  <si>
    <t>שם מלא</t>
  </si>
  <si>
    <t xml:space="preserve">תעודת זהות </t>
  </si>
  <si>
    <t xml:space="preserve">מספר אולי נוסחה רגקס </t>
  </si>
  <si>
    <t xml:space="preserve">של האיש הפרטי </t>
  </si>
  <si>
    <t xml:space="preserve">טלפון </t>
  </si>
  <si>
    <t xml:space="preserve">כתובת </t>
  </si>
  <si>
    <t>תיק מס הכנסה</t>
  </si>
  <si>
    <t>כולם</t>
  </si>
  <si>
    <t>מפתח / מנהל מערכת, בעל/ת המשרד, מנהל צוות, יועץ/ת מס</t>
  </si>
  <si>
    <t xml:space="preserve">תיק ניכויים </t>
  </si>
  <si>
    <t>סוגי שדות (אוריגמי)</t>
  </si>
  <si>
    <t>מספר תיק ביטוח לאומי</t>
  </si>
  <si>
    <t>חובה / רשות</t>
  </si>
  <si>
    <t>פעולה מבוצעת</t>
  </si>
  <si>
    <t>קבוצות משתמשים</t>
  </si>
  <si>
    <t>חובה</t>
  </si>
  <si>
    <t>הצג הודעה למשתמש</t>
  </si>
  <si>
    <t>רעיון</t>
  </si>
  <si>
    <t>מפתח / מנהל מערכת</t>
  </si>
  <si>
    <t>רשות</t>
  </si>
  <si>
    <t>כפתורי פעולה</t>
  </si>
  <si>
    <t>בעת עדכון שדה</t>
  </si>
  <si>
    <t>אוטומציה של AI</t>
  </si>
  <si>
    <t>בעל/ת המשרד</t>
  </si>
  <si>
    <t xml:space="preserve">מעסיק </t>
  </si>
  <si>
    <t>התניה מתוזמנת</t>
  </si>
  <si>
    <t>בעת מחיקת מופע</t>
  </si>
  <si>
    <t>אפקטים</t>
  </si>
  <si>
    <t>מאושר לבנייה</t>
  </si>
  <si>
    <t>מנהל צוות</t>
  </si>
  <si>
    <t>בעת יצירת קבוצה החוזרת על עצמה</t>
  </si>
  <si>
    <t>נעל קובץ</t>
  </si>
  <si>
    <t>נבנה באוריגמי</t>
  </si>
  <si>
    <t>מנהל/ת חשבונות</t>
  </si>
  <si>
    <t>בעת מחיקת קבוצה החוזרת על עצמה</t>
  </si>
  <si>
    <t>שליחת חוזה</t>
  </si>
  <si>
    <t>הושלם ונבדק</t>
  </si>
  <si>
    <t>חשב/ת שכר</t>
  </si>
  <si>
    <t>בעת צפייה במופע</t>
  </si>
  <si>
    <t>מלא מסמך</t>
  </si>
  <si>
    <t>יועץ/ת מס</t>
  </si>
  <si>
    <t>מקם את הכפתור בתצוגת מופעים</t>
  </si>
  <si>
    <t>התראות</t>
  </si>
  <si>
    <t>מתמחה</t>
  </si>
  <si>
    <t>מקם את הכפתור בעריכת מופע</t>
  </si>
  <si>
    <t>צור קבוצה חוזרת חדשה</t>
  </si>
  <si>
    <t>מנהל/ת משרד</t>
  </si>
  <si>
    <t>מקם את הכפתור בקבוצת שדות</t>
  </si>
  <si>
    <t>העבר למופע אחר</t>
  </si>
  <si>
    <t>צופה / רו"ח חיצוני</t>
  </si>
  <si>
    <t>לפי הגדרת זמן (שעה / דקה / יום בשבוע)</t>
  </si>
  <si>
    <t>בסיס נתונים חיצוני</t>
  </si>
  <si>
    <t>לקוח (פורטל)</t>
  </si>
  <si>
    <t>WYSIWYG</t>
  </si>
  <si>
    <t>הצע תיקון</t>
  </si>
  <si>
    <t>מערכת / אוטומציה</t>
  </si>
  <si>
    <t>העלאת קבצים</t>
  </si>
  <si>
    <t>נעל/פתח</t>
  </si>
  <si>
    <t>אימות</t>
  </si>
  <si>
    <t>מחק מופע</t>
  </si>
  <si>
    <t>ס.מ.ס</t>
  </si>
  <si>
    <t>עדכן שדות</t>
  </si>
  <si>
    <t>שדה API</t>
  </si>
  <si>
    <t>שכפל רשומה</t>
  </si>
  <si>
    <t>בחירת משתמשים מרובה</t>
  </si>
  <si>
    <t>ייצוא דוחות</t>
  </si>
  <si>
    <t>שדה מצביע</t>
  </si>
  <si>
    <t>קרא לשירות חיצוני</t>
  </si>
  <si>
    <t>עדכון מרובה</t>
  </si>
  <si>
    <t>מחוון בחירה</t>
  </si>
  <si>
    <t>בקשת אימות</t>
  </si>
  <si>
    <t>שדה מטא-דטא</t>
  </si>
  <si>
    <t>פעולת ארכיון</t>
  </si>
  <si>
    <t>שלח אימייל</t>
  </si>
  <si>
    <t>שדה קריאה בלבד</t>
  </si>
  <si>
    <t>שדה חבוי</t>
  </si>
  <si>
    <t>פתח חלון חדש</t>
  </si>
  <si>
    <t>בחירת זמן</t>
  </si>
  <si>
    <t>שדה חתימה</t>
  </si>
  <si>
    <t>בחירת צלמית</t>
  </si>
  <si>
    <t>בחירת צבע</t>
  </si>
  <si>
    <t xml:space="preserve">תדירות דיווחי מע"מ </t>
  </si>
  <si>
    <t>יישות תדירות דיווח</t>
  </si>
  <si>
    <t>מורשה</t>
  </si>
  <si>
    <t xml:space="preserve">מועד דיווח שנתי </t>
  </si>
  <si>
    <t xml:space="preserve">ישות תדירות דווח </t>
  </si>
  <si>
    <t>פקיד שומה</t>
  </si>
  <si>
    <t>שם של פקיד שומא</t>
  </si>
  <si>
    <t>פרטי השירות</t>
  </si>
  <si>
    <t>שם השירות</t>
  </si>
  <si>
    <t xml:space="preserve">תחנת מע"מ </t>
  </si>
  <si>
    <t>חובות שהשירות מפעיל</t>
  </si>
  <si>
    <t>בחירה מכל תחנות בארץ</t>
  </si>
  <si>
    <t>תנאי השירות</t>
  </si>
  <si>
    <t>קישור לסוג לקוח שמתאים</t>
  </si>
  <si>
    <t>קישור לגייסטאר</t>
  </si>
  <si>
    <t>תיאור השירות</t>
  </si>
  <si>
    <t>עמותא</t>
  </si>
  <si>
    <t>קישור לאיש קשר פקיד שומא</t>
  </si>
  <si>
    <t>יישות אנשי קשר</t>
  </si>
  <si>
    <t xml:space="preserve">מורשה </t>
  </si>
  <si>
    <t>אינטרקציות</t>
  </si>
  <si>
    <t>חיובים</t>
  </si>
  <si>
    <t xml:space="preserve">                         </t>
  </si>
  <si>
    <t>אישורים</t>
  </si>
  <si>
    <t>פרטי עסקה</t>
  </si>
  <si>
    <t>לקוח</t>
  </si>
  <si>
    <t>מטלות</t>
  </si>
  <si>
    <t>תאריך חתימה</t>
  </si>
  <si>
    <t>שירותים</t>
  </si>
  <si>
    <t>בתוקף עד</t>
  </si>
  <si>
    <t>הערות לעסקה</t>
  </si>
  <si>
    <t>סטטוס מחושב</t>
  </si>
  <si>
    <t xml:space="preserve">סטטוס </t>
  </si>
  <si>
    <t>חוזה שירות</t>
  </si>
  <si>
    <t>מחיר עסקה מוחשב לפני מע"מ</t>
  </si>
  <si>
    <t xml:space="preserve">הנחה כללית </t>
  </si>
  <si>
    <t>מחיר אחרי מע"מ</t>
  </si>
  <si>
    <t>קישור לתשלומים</t>
  </si>
  <si>
    <t>מודל תמחור</t>
  </si>
  <si>
    <t>מעקב תשלום</t>
  </si>
  <si>
    <t>קישור לשירות</t>
  </si>
  <si>
    <t>מחיר שירות</t>
  </si>
  <si>
    <t xml:space="preserve">כמות </t>
  </si>
  <si>
    <t>הנחה</t>
  </si>
  <si>
    <t>מחיר לפני מע"מ</t>
  </si>
  <si>
    <t>תאריך</t>
  </si>
  <si>
    <t>יוצר</t>
  </si>
  <si>
    <t>ס"ה עובדים של לקוח</t>
  </si>
  <si>
    <t>תקף?</t>
  </si>
  <si>
    <t>מחיר הצעה לפני מע"מ</t>
  </si>
  <si>
    <t>מחיר הצעה אחרי מע"מ</t>
  </si>
  <si>
    <t>בתוקף מ</t>
  </si>
  <si>
    <t>התקשורת</t>
  </si>
  <si>
    <t>סוג תקשורת</t>
  </si>
  <si>
    <t>חותמת זמן</t>
  </si>
  <si>
    <t>סיכום</t>
  </si>
  <si>
    <t xml:space="preserve">מסמכים מקושרים </t>
  </si>
  <si>
    <t>הקלטה</t>
  </si>
  <si>
    <t>הערכת זמן</t>
  </si>
  <si>
    <t>תאריך יצירה</t>
  </si>
  <si>
    <t>פרטי המשימה</t>
  </si>
  <si>
    <t>תאריך יעד</t>
  </si>
  <si>
    <t>ציק ליסט</t>
  </si>
  <si>
    <t>תאריך סיום בפועל</t>
  </si>
  <si>
    <t>תאריך התחלה בפועל</t>
  </si>
  <si>
    <t>התקדמות</t>
  </si>
  <si>
    <t xml:space="preserve">הסטוריה </t>
  </si>
  <si>
    <t>זמן בפועל</t>
  </si>
  <si>
    <t>סטייה</t>
  </si>
  <si>
    <t>זמן מחזור</t>
  </si>
  <si>
    <t>מטלת אב</t>
  </si>
  <si>
    <t>תלויה במטלה</t>
  </si>
  <si>
    <t>מטלות בנות</t>
  </si>
  <si>
    <t>התקדמות בנות</t>
  </si>
  <si>
    <t>כותרת</t>
  </si>
  <si>
    <t>סוג משימה</t>
  </si>
  <si>
    <t>תדירות</t>
  </si>
  <si>
    <t xml:space="preserve">ססטוס </t>
  </si>
  <si>
    <t>פרטי המשימה /תיאור</t>
  </si>
  <si>
    <t>ממתין ל</t>
  </si>
  <si>
    <t xml:space="preserve">רק אםסטטוס ממתינה </t>
  </si>
  <si>
    <t>ממתין מתאריך</t>
  </si>
  <si>
    <t>להציג מתאריך</t>
  </si>
  <si>
    <t>רק אם סטטוס הוא נדחתה/רדומה</t>
  </si>
  <si>
    <t>סיבה</t>
  </si>
  <si>
    <t>לשלוח תזכורת</t>
  </si>
  <si>
    <t xml:space="preserve">תזכורות </t>
  </si>
  <si>
    <t>רק עם סומן שילחת תזכורת</t>
  </si>
  <si>
    <t>עדיפות</t>
  </si>
  <si>
    <t>דחיפות</t>
  </si>
  <si>
    <t>פרטי העובד</t>
  </si>
  <si>
    <t>שם</t>
  </si>
  <si>
    <t>סימון</t>
  </si>
  <si>
    <t>שם משפחה</t>
  </si>
  <si>
    <t>פעילה היום?</t>
  </si>
  <si>
    <t>פרטי העסקה</t>
  </si>
  <si>
    <t>תפקידים ועיסוקים</t>
  </si>
  <si>
    <t>חריג</t>
  </si>
  <si>
    <t>וואצאפ</t>
  </si>
  <si>
    <t xml:space="preserve">אימייל </t>
  </si>
  <si>
    <t>מקור המטלה</t>
  </si>
  <si>
    <t>כתובת</t>
  </si>
  <si>
    <t>אירוע מקור</t>
  </si>
  <si>
    <t>טלפון נוסף</t>
  </si>
  <si>
    <t>קישור לאינטראצקיה</t>
  </si>
  <si>
    <t>קישור להגשה</t>
  </si>
  <si>
    <t>תחילת העסקה</t>
  </si>
  <si>
    <t xml:space="preserve">קישור למסמכים </t>
  </si>
  <si>
    <t>הסכם העסקה</t>
  </si>
  <si>
    <t>עובד אחראי קודם</t>
  </si>
  <si>
    <t>עלות שעה פנימית</t>
  </si>
  <si>
    <t>עובד אחראי הבא</t>
  </si>
  <si>
    <t>סטטוס</t>
  </si>
  <si>
    <t xml:space="preserve">תאריך </t>
  </si>
  <si>
    <t xml:space="preserve">זמינות </t>
  </si>
  <si>
    <t>תפקיד</t>
  </si>
  <si>
    <t>סיבת העברה</t>
  </si>
  <si>
    <t>התמחויות</t>
  </si>
  <si>
    <t>הערת מסירה</t>
  </si>
  <si>
    <t>מידע נוסף</t>
  </si>
  <si>
    <t>סוג חומר נדרש</t>
  </si>
  <si>
    <t>שם החומר</t>
  </si>
  <si>
    <t>פרטי החובה</t>
  </si>
  <si>
    <t>סוג המסמך</t>
  </si>
  <si>
    <t>קישור לסוגי חומרים</t>
  </si>
  <si>
    <t>שם החובה</t>
  </si>
  <si>
    <t>שירות מפעיל</t>
  </si>
  <si>
    <t xml:space="preserve">חל על סוגי ישיות </t>
  </si>
  <si>
    <t xml:space="preserve">גרירת תשלום </t>
  </si>
  <si>
    <t xml:space="preserve">תיאור החובה </t>
  </si>
  <si>
    <t>פרטי הגשה</t>
  </si>
  <si>
    <t>שם הלקוח</t>
  </si>
  <si>
    <t>קישור לחובה</t>
  </si>
  <si>
    <t>תיאור החובה</t>
  </si>
  <si>
    <t>תקופה</t>
  </si>
  <si>
    <t>פרטי מסמך</t>
  </si>
  <si>
    <t>שם / כותרת</t>
  </si>
  <si>
    <t xml:space="preserve">פרטי החומר הנדרש </t>
  </si>
  <si>
    <t>סוג פריט</t>
  </si>
  <si>
    <t>קובץ</t>
  </si>
  <si>
    <t>עובד מבצע</t>
  </si>
  <si>
    <t>סוג מסמך</t>
  </si>
  <si>
    <t>לתקופת</t>
  </si>
  <si>
    <t xml:space="preserve">קטגוריה </t>
  </si>
  <si>
    <t xml:space="preserve">עדיפות </t>
  </si>
  <si>
    <t>קישור לחומר תקופתי</t>
  </si>
  <si>
    <t>תאריך הגשה בפועל</t>
  </si>
  <si>
    <t>התקבל באמצעות</t>
  </si>
  <si>
    <t>תאריך השלמת קבלה בפועל</t>
  </si>
  <si>
    <t>התקבל בתאריך</t>
  </si>
  <si>
    <t>ריבוי</t>
  </si>
  <si>
    <t>ימים עד תאריך יעד</t>
  </si>
  <si>
    <t>אינטראקציה מקושרת (אופציונלי)</t>
  </si>
  <si>
    <t>קישור לאישור</t>
  </si>
  <si>
    <t>קישור להגשת שכר</t>
  </si>
  <si>
    <t>רק במקרה של הגשה שכר</t>
  </si>
  <si>
    <t>סטטוס מסמך</t>
  </si>
  <si>
    <t>קישור לאינטרקציה</t>
  </si>
  <si>
    <t>הערה</t>
  </si>
  <si>
    <t>פתיחת ההגשה</t>
  </si>
  <si>
    <t>דגל סיכון</t>
  </si>
  <si>
    <t>סטטוס תוקף</t>
  </si>
  <si>
    <t>פרטי אישור /הוראה</t>
  </si>
  <si>
    <t>נושא ההוראה</t>
  </si>
  <si>
    <t xml:space="preserve">ניתן ע"י </t>
  </si>
  <si>
    <t>מסמך מצורף (אופצונאלי)</t>
  </si>
  <si>
    <t>חומר תקופתי</t>
  </si>
  <si>
    <t xml:space="preserve">חובות מס </t>
  </si>
  <si>
    <t>מטלה</t>
  </si>
  <si>
    <t>הסכם תמחור</t>
  </si>
  <si>
    <t>עסקה</t>
  </si>
  <si>
    <t>תהליך קליטה</t>
  </si>
  <si>
    <t>אינטרקציה יוצרת</t>
  </si>
  <si>
    <t>פרטי התשלום</t>
  </si>
  <si>
    <t>סוג החובה</t>
  </si>
  <si>
    <t>חל על תקופת</t>
  </si>
  <si>
    <t>תאריך יעד לתשלום</t>
  </si>
  <si>
    <t>סכום לתשלום</t>
  </si>
  <si>
    <t>תאריך תשלום בפועל</t>
  </si>
  <si>
    <t xml:space="preserve">אסמכתא </t>
  </si>
  <si>
    <t>הגשה מקושרת</t>
  </si>
  <si>
    <t>אישור מקושר</t>
  </si>
  <si>
    <t>תדירות התשלום</t>
  </si>
  <si>
    <t>מקור הסכום</t>
  </si>
  <si>
    <t>תלוי בהגשה</t>
  </si>
  <si>
    <t>קישור לתבנית חובה</t>
  </si>
  <si>
    <t xml:space="preserve">פרטי ההרצה </t>
  </si>
  <si>
    <t>שם לקוח</t>
  </si>
  <si>
    <t>רשימת עובדים</t>
  </si>
  <si>
    <t xml:space="preserve">מס'  תלושים לביצוע </t>
  </si>
  <si>
    <t xml:space="preserve">סטטוס אישור </t>
  </si>
  <si>
    <t>אישור התלושים</t>
  </si>
  <si>
    <t>שם העובד</t>
  </si>
  <si>
    <t>מס תעודת זהות</t>
  </si>
  <si>
    <t>מעסיק</t>
  </si>
  <si>
    <t>פרטים נוספים</t>
  </si>
  <si>
    <t>תאריך תחילת העבודה</t>
  </si>
  <si>
    <t>תאריך סיום</t>
  </si>
  <si>
    <t>טופס 101</t>
  </si>
  <si>
    <t>מצב טופס 101</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</si>
</sst>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color rgb="FF181C1F"/>
      <name val="Calibri"/>
      <scheme val="minor"/>
    </font>
    <font>
      <b/>
      <sz val="10.0"/>
      <color rgb="FF1155CC"/>
      <name val="Arial"/>
    </font>
    <font>
      <b/>
      <color rgb="FF000000"/>
      <name val="Calibri"/>
      <scheme val="minor"/>
    </font>
    <font/>
    <font>
      <b/>
      <u/>
      <color rgb="FF0000FF"/>
    </font>
    <font>
      <b/>
      <u/>
      <color rgb="FF000000"/>
    </font>
    <font>
      <b/>
      <u/>
      <color rgb="FF181C1F"/>
    </font>
    <font>
      <b/>
      <u/>
      <color rgb="FF0000FF"/>
    </font>
    <font>
      <b/>
      <sz val="11.0"/>
      <color rgb="FFFFFFFF"/>
      <name val="Roboto"/>
    </font>
    <font>
      <b/>
      <u/>
      <color rgb="FF000000"/>
    </font>
    <font>
      <b/>
      <sz val="11.0"/>
      <color theme="1"/>
      <name val="Arial"/>
    </font>
    <font>
      <b/>
      <sz val="11.0"/>
      <color rgb="FFFFFFFF"/>
      <name val="Arial"/>
    </font>
    <font>
      <u/>
      <sz val="7.0"/>
      <color rgb="FF0000FF"/>
      <name val="Roboto"/>
    </font>
    <font>
      <color theme="1"/>
      <name val="Calibri"/>
      <scheme val="minor"/>
    </font>
    <font>
      <sz val="11.0"/>
      <color theme="1"/>
      <name val="Calibri"/>
    </font>
    <font>
      <color rgb="FF3C78D8"/>
      <name val="Calibri"/>
      <scheme val="minor"/>
    </font>
    <font>
      <i/>
      <sz val="10.0"/>
      <color rgb="FF808080"/>
      <name val="Roboto"/>
    </font>
    <font>
      <sz val="10.0"/>
      <color theme="1"/>
      <name val="Roboto"/>
    </font>
    <font>
      <sz val="11.0"/>
      <color rgb="FF3C78D8"/>
      <name val="Calibri"/>
    </font>
    <font>
      <b/>
      <sz val="13.0"/>
      <color rgb="FF1F3864"/>
      <name val="Arial"/>
    </font>
    <font>
      <b/>
      <sz val="11.0"/>
      <color rgb="FF3C78D8"/>
      <name val="Arial"/>
    </font>
    <font>
      <u/>
      <sz val="10.0"/>
      <color rgb="FF0000FF"/>
      <name val="Roboto"/>
    </font>
    <font>
      <u/>
      <sz val="10.0"/>
      <color rgb="FF0000FF"/>
      <name val="Roboto"/>
    </font>
    <font>
      <u/>
      <sz val="10.0"/>
      <color rgb="FF0000FF"/>
      <name val="Roboto"/>
    </font>
  </fonts>
  <fills count="11">
    <fill>
      <patternFill patternType="none"/>
    </fill>
    <fill>
      <patternFill patternType="lightGray"/>
    </fill>
    <fill>
      <patternFill patternType="solid">
        <fgColor rgb="FFEBEDF4"/>
        <bgColor rgb="FFEBEDF4"/>
      </patternFill>
    </fill>
    <fill>
      <patternFill patternType="solid">
        <fgColor rgb="FFD9E2F3"/>
        <bgColor rgb="FFD9E2F3"/>
      </patternFill>
    </fill>
    <fill>
      <patternFill patternType="solid">
        <fgColor rgb="FFF3F3F3"/>
        <bgColor rgb="FFF3F3F3"/>
      </patternFill>
    </fill>
    <fill>
      <patternFill patternType="solid">
        <fgColor rgb="FF385F8F"/>
        <bgColor rgb="FF385F8F"/>
      </patternFill>
    </fill>
    <fill>
      <patternFill patternType="solid">
        <fgColor rgb="FFFFFFFF"/>
        <bgColor rgb="FFFFFFFF"/>
      </patternFill>
    </fill>
    <fill>
      <patternFill patternType="solid">
        <fgColor rgb="FF1F3864"/>
        <bgColor rgb="FF1F3864"/>
      </patternFill>
    </fill>
    <fill>
      <patternFill patternType="solid">
        <fgColor rgb="FFFFF2CC"/>
        <bgColor rgb="FFFFF2CC"/>
      </patternFill>
    </fill>
    <fill>
      <patternFill patternType="solid">
        <fgColor theme="0"/>
        <bgColor theme="0"/>
      </patternFill>
    </fill>
    <fill>
      <patternFill patternType="solid">
        <fgColor rgb="FF2F5597"/>
        <bgColor rgb="FF2F5597"/>
      </patternFill>
    </fill>
  </fills>
  <borders count="43">
    <border/>
    <border>
      <left/>
      <right/>
      <top/>
      <bottom/>
    </border>
    <border>
      <left/>
      <top/>
    </border>
    <border>
      <left/>
      <top/>
      <bottom/>
    </border>
    <border>
      <top/>
      <bottom/>
    </border>
    <border>
      <left style="thin">
        <color rgb="FF00FFFF"/>
      </left>
      <right style="thin">
        <color rgb="FF00FFFF"/>
      </right>
      <top style="thin">
        <color rgb="FF00FFFF"/>
      </top>
    </border>
    <border>
      <right/>
      <top/>
      <bottom/>
    </border>
    <border>
      <right/>
      <top/>
    </border>
    <border>
      <left style="thin">
        <color rgb="FFB7B7B7"/>
      </left>
      <right style="thin">
        <color rgb="FFB7B7B7"/>
      </right>
      <top style="thin">
        <color rgb="FFB7B7B7"/>
      </top>
    </border>
    <border>
      <left/>
      <right/>
      <top/>
    </border>
    <border>
      <left style="thin">
        <color rgb="FFB7B7B7"/>
      </left>
      <right style="thin">
        <color rgb="FFB7B7B7"/>
      </right>
      <top style="thin">
        <color rgb="FFB7B7B7"/>
      </top>
      <bottom style="thin">
        <color rgb="FFB7B7B7"/>
      </bottom>
    </border>
    <border>
      <left style="thick">
        <color rgb="FF000000"/>
      </left>
      <right style="thick">
        <color rgb="FF000000"/>
      </right>
      <top style="thick">
        <color rgb="FF000000"/>
      </top>
    </border>
    <border>
      <left style="thick">
        <color rgb="FF000000"/>
      </left>
      <top style="thick">
        <color rgb="FF000000"/>
      </top>
    </border>
    <border>
      <left/>
      <top style="thick">
        <color rgb="FF000000"/>
      </top>
    </border>
    <border>
      <top style="thick">
        <color rgb="FF000000"/>
      </top>
    </border>
    <border>
      <right style="thick">
        <color rgb="FF000000"/>
      </right>
      <top style="thick">
        <color rgb="FF000000"/>
      </top>
    </border>
    <border>
      <left style="thin">
        <color rgb="FFB7B7B7"/>
      </left>
      <top style="thin">
        <color rgb="FFB7B7B7"/>
      </top>
      <bottom style="thin">
        <color rgb="FFB7B7B7"/>
      </bottom>
    </border>
    <border>
      <left style="thick">
        <color rgb="FF000000"/>
      </left>
      <right style="thick">
        <color rgb="FFFFFFFF"/>
      </right>
      <top style="thick">
        <color rgb="FF000000"/>
      </top>
      <bottom style="thick">
        <color rgb="FFFFFFFF"/>
      </bottom>
    </border>
    <border>
      <top style="thin">
        <color rgb="FFB7B7B7"/>
      </top>
      <bottom style="thin">
        <color rgb="FFB7B7B7"/>
      </bottom>
    </border>
    <border>
      <left style="thick">
        <color rgb="FFFFFFFF"/>
      </left>
      <right style="thick">
        <color rgb="FFFFFFFF"/>
      </right>
      <top style="thick">
        <color rgb="FF000000"/>
      </top>
      <bottom style="thick">
        <color rgb="FFFFFFFF"/>
      </bottom>
    </border>
    <border>
      <left style="thick">
        <color rgb="FFFFFFFF"/>
      </left>
      <right style="thick">
        <color rgb="FF000000"/>
      </right>
      <top style="thick">
        <color rgb="FF000000"/>
      </top>
      <bottom style="thick">
        <color rgb="FFFFFFFF"/>
      </bottom>
    </border>
    <border>
      <top style="thin">
        <color rgb="FFB7B7B7"/>
      </top>
    </border>
    <border>
      <left style="thick">
        <color rgb="FFFFFFFF"/>
      </left>
      <top style="thick">
        <color rgb="FF000000"/>
      </top>
      <bottom style="thick">
        <color rgb="FFFFFFFF"/>
      </bottom>
    </border>
    <border>
      <right style="thin">
        <color rgb="FFB7B7B7"/>
      </right>
      <top style="thin">
        <color rgb="FFB7B7B7"/>
      </top>
      <bottom style="thin">
        <color rgb="FFB7B7B7"/>
      </bottom>
    </border>
    <border>
      <right style="thick">
        <color rgb="FF000000"/>
      </right>
      <top style="thick">
        <color rgb="FF000000"/>
      </top>
      <bottom style="thick">
        <color rgb="FFFFFFFF"/>
      </bottom>
    </border>
    <border>
      <left style="thick">
        <color rgb="FF000000"/>
      </left>
      <right style="thick">
        <color rgb="FFFFFFFF"/>
      </right>
      <top style="thick">
        <color rgb="FFFFFFFF"/>
      </top>
      <bottom style="thick">
        <color rgb="FFFFFFFF"/>
      </bottom>
    </border>
    <border>
      <left style="thin">
        <color rgb="FF73777E"/>
      </left>
      <right style="thin">
        <color rgb="FF73777E"/>
      </right>
      <top style="thin">
        <color rgb="FF73777E"/>
      </top>
      <bottom style="thin">
        <color rgb="FF73777E"/>
      </bottom>
    </border>
    <border>
      <left style="thin">
        <color rgb="FF73777E"/>
      </left>
      <right style="thin">
        <color rgb="FF73777E"/>
      </right>
      <bottom style="thin">
        <color rgb="FF73777E"/>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FFFFFF"/>
      </left>
      <top style="thick">
        <color rgb="FFFFFFFF"/>
      </top>
      <bottom style="thick">
        <color rgb="FFFFFFFF"/>
      </bottom>
    </border>
    <border>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bottom style="thin">
        <color rgb="FFB7B7B7"/>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left style="thick">
        <color rgb="FFFFFFFF"/>
      </left>
      <top style="thick">
        <color rgb="FFFFFFFF"/>
      </top>
      <bottom style="thick">
        <color rgb="FF000000"/>
      </bottom>
    </border>
    <border>
      <bottom style="thick">
        <color rgb="FF000000"/>
      </bottom>
    </border>
    <border>
      <right style="thick">
        <color rgb="FF000000"/>
      </right>
      <top style="thick">
        <color rgb="FFFFFFFF"/>
      </top>
      <bottom style="thick">
        <color rgb="FF000000"/>
      </bottom>
    </border>
    <border>
      <left style="thin">
        <color rgb="FFB7B7B7"/>
      </left>
      <bottom style="thin">
        <color rgb="FFB7B7B7"/>
      </bottom>
    </border>
    <border>
      <right style="thin">
        <color rgb="FFB7B7B7"/>
      </right>
      <bottom style="thin">
        <color rgb="FFB7B7B7"/>
      </bottom>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Border="1" applyFill="1" applyFont="1"/>
    <xf borderId="0" fillId="3" fontId="2" numFmtId="0" xfId="0" applyFill="1" applyFont="1"/>
    <xf borderId="2" fillId="4" fontId="3" numFmtId="0" xfId="0" applyAlignment="1" applyBorder="1" applyFill="1" applyFont="1">
      <alignment readingOrder="0"/>
    </xf>
    <xf borderId="3" fillId="2" fontId="1" numFmtId="0" xfId="0" applyAlignment="1" applyBorder="1" applyFill="1" applyFont="1">
      <alignment horizontal="right" vertical="center"/>
    </xf>
    <xf borderId="4" fillId="0" fontId="4" numFmtId="0" xfId="0" applyBorder="1" applyFont="1"/>
    <xf borderId="5" fillId="4" fontId="5" numFmtId="0" xfId="0" applyAlignment="1" applyBorder="1" applyFill="1" applyFont="1">
      <alignment horizontal="center" readingOrder="0" vertical="center"/>
    </xf>
    <xf borderId="6" fillId="0" fontId="4" numFmtId="0" xfId="0" applyBorder="1" applyFont="1"/>
    <xf borderId="7" fillId="4" fontId="3" numFmtId="0" xfId="0" applyAlignment="1" applyBorder="1" applyFill="1" applyFont="1">
      <alignment horizontal="left" readingOrder="0" shrinkToFit="0" textRotation="0" vertical="top" wrapText="1"/>
    </xf>
    <xf borderId="1" fillId="2" fontId="1" numFmtId="0" xfId="0" applyAlignment="1" applyBorder="1" applyFill="1" applyFont="1">
      <alignment readingOrder="0"/>
    </xf>
    <xf borderId="8" fillId="4" fontId="3" numFmtId="0" xfId="0" applyAlignment="1" applyBorder="1" applyFill="1" applyFont="1">
      <alignment readingOrder="0"/>
    </xf>
    <xf borderId="8" fillId="4" fontId="3" numFmtId="0" xfId="0" applyAlignment="1" applyBorder="1" applyFill="1" applyFont="1">
      <alignment readingOrder="0"/>
    </xf>
    <xf borderId="9" fillId="4" fontId="6" numFmtId="0" xfId="0" applyBorder="1" applyFill="1" applyFont="1"/>
    <xf borderId="9" fillId="4" fontId="3" numFmtId="0" xfId="0" applyBorder="1" applyFill="1" applyFont="1"/>
    <xf borderId="10" fillId="2" fontId="1" numFmtId="0" xfId="0" applyAlignment="1" applyBorder="1" applyFill="1" applyFont="1">
      <alignment readingOrder="0"/>
    </xf>
    <xf borderId="1" fillId="2" fontId="7" numFmtId="0" xfId="0" applyBorder="1" applyFill="1" applyFont="1"/>
    <xf borderId="0" fillId="4" fontId="8" numFmtId="0" xfId="0" applyAlignment="1" applyFill="1" applyFont="1">
      <alignment horizontal="center" readingOrder="0" shrinkToFit="0" vertical="center" wrapText="1"/>
    </xf>
    <xf borderId="0" fillId="4" fontId="3" numFmtId="0" xfId="0" applyFill="1" applyFont="1"/>
    <xf borderId="1" fillId="4" fontId="3" numFmtId="0" xfId="0" applyBorder="1" applyFill="1" applyFont="1"/>
    <xf borderId="0" fillId="5" fontId="9" numFmtId="0" xfId="0" applyAlignment="1" applyFill="1" applyFont="1">
      <alignment readingOrder="0"/>
    </xf>
    <xf borderId="2" fillId="4" fontId="10" numFmtId="0" xfId="0" applyBorder="1" applyFill="1" applyFont="1"/>
    <xf borderId="0" fillId="6" fontId="3" numFmtId="0" xfId="0" applyFill="1" applyFont="1"/>
    <xf borderId="0" fillId="5" fontId="9" numFmtId="0" xfId="0" applyFill="1" applyFont="1"/>
    <xf borderId="11" fillId="6" fontId="3" numFmtId="0" xfId="0" applyBorder="1" applyFill="1" applyFont="1"/>
    <xf borderId="0" fillId="4" fontId="3" numFmtId="0" xfId="0" applyFill="1" applyFont="1"/>
    <xf borderId="0" fillId="0" fontId="11" numFmtId="0" xfId="0" applyAlignment="1" applyFont="1">
      <alignment readingOrder="0"/>
    </xf>
    <xf borderId="12" fillId="7" fontId="12" numFmtId="0" xfId="0" applyAlignment="1" applyBorder="1" applyFill="1" applyFont="1">
      <alignment horizontal="right" vertical="center"/>
    </xf>
    <xf borderId="13" fillId="4" fontId="3" numFmtId="0" xfId="0" applyAlignment="1" applyBorder="1" applyFill="1" applyFont="1">
      <alignment horizontal="right" vertical="center"/>
    </xf>
    <xf borderId="14" fillId="0" fontId="4" numFmtId="0" xfId="0" applyBorder="1" applyFont="1"/>
    <xf borderId="15" fillId="0" fontId="4" numFmtId="0" xfId="0" applyBorder="1" applyFont="1"/>
    <xf borderId="6" fillId="4" fontId="3" numFmtId="0" xfId="0" applyBorder="1" applyFill="1" applyFont="1"/>
    <xf borderId="12" fillId="4" fontId="3" numFmtId="0" xfId="0" applyAlignment="1" applyBorder="1" applyFill="1" applyFont="1">
      <alignment horizontal="right" vertical="center"/>
    </xf>
    <xf borderId="16" fillId="8" fontId="13" numFmtId="0" xfId="0" applyAlignment="1" applyBorder="1" applyFill="1" applyFont="1">
      <alignment readingOrder="0" shrinkToFit="0" vertical="center" wrapText="1"/>
    </xf>
    <xf borderId="17" fillId="9" fontId="14" numFmtId="0" xfId="0" applyBorder="1" applyFill="1" applyFont="1"/>
    <xf borderId="18" fillId="8" fontId="15" numFmtId="0" xfId="0" applyAlignment="1" applyBorder="1" applyFill="1" applyFont="1">
      <alignment readingOrder="0" shrinkToFit="0" vertical="center" wrapText="0"/>
    </xf>
    <xf borderId="19" fillId="9" fontId="14" numFmtId="0" xfId="0" applyBorder="1" applyFill="1" applyFont="1"/>
    <xf borderId="18" fillId="8" fontId="15" numFmtId="0" xfId="0" applyAlignment="1" applyBorder="1" applyFill="1" applyFont="1">
      <alignment readingOrder="0" shrinkToFit="0" vertical="center" wrapText="1"/>
    </xf>
    <xf borderId="20" fillId="9" fontId="14" numFmtId="0" xfId="0" applyBorder="1" applyFill="1" applyFont="1"/>
    <xf borderId="21" fillId="8" fontId="15" numFmtId="0" xfId="0" applyAlignment="1" applyBorder="1" applyFill="1" applyFont="1">
      <alignment readingOrder="0" shrinkToFit="0" vertical="center" wrapText="1"/>
    </xf>
    <xf borderId="22" fillId="6" fontId="14" numFmtId="0" xfId="0" applyBorder="1" applyFill="1" applyFont="1"/>
    <xf borderId="14" fillId="6" fontId="16" numFmtId="0" xfId="0" applyBorder="1" applyFill="1" applyFont="1"/>
    <xf borderId="23" fillId="8" fontId="15" numFmtId="0" xfId="0" applyAlignment="1" applyBorder="1" applyFill="1" applyFont="1">
      <alignment readingOrder="0" shrinkToFit="0" vertical="center" wrapText="1"/>
    </xf>
    <xf borderId="24" fillId="6" fontId="14" numFmtId="0" xfId="0" applyBorder="1" applyFill="1" applyFont="1"/>
    <xf borderId="25" fillId="9" fontId="15" numFmtId="0" xfId="0" applyBorder="1" applyFill="1" applyFont="1"/>
    <xf borderId="26" fillId="5" fontId="9" numFmtId="0" xfId="0" applyAlignment="1" applyBorder="1" applyFill="1" applyFont="1">
      <alignment readingOrder="0"/>
    </xf>
    <xf borderId="27" fillId="5" fontId="9" numFmtId="0" xfId="0" applyBorder="1" applyFill="1" applyFont="1"/>
    <xf borderId="27" fillId="5" fontId="9" numFmtId="0" xfId="0" applyBorder="1" applyFill="1" applyFont="1"/>
    <xf borderId="28" fillId="9" fontId="15" numFmtId="0" xfId="0" applyBorder="1" applyFill="1" applyFont="1"/>
    <xf borderId="26" fillId="0" fontId="17" numFmtId="0" xfId="0" applyAlignment="1" applyBorder="1" applyFont="1">
      <alignment readingOrder="0"/>
    </xf>
    <xf borderId="29" fillId="9" fontId="15" numFmtId="0" xfId="0" applyBorder="1" applyFill="1" applyFont="1"/>
    <xf borderId="26" fillId="0" fontId="18" numFmtId="0" xfId="0" applyBorder="1" applyFont="1"/>
    <xf borderId="26" fillId="0" fontId="18" numFmtId="0" xfId="0" applyAlignment="1" applyBorder="1" applyFont="1">
      <alignment readingOrder="0"/>
    </xf>
    <xf borderId="10" fillId="0" fontId="15" numFmtId="0" xfId="0" applyBorder="1" applyFont="1"/>
    <xf borderId="26" fillId="5" fontId="9" numFmtId="0" xfId="0" applyBorder="1" applyFill="1" applyFont="1"/>
    <xf borderId="26" fillId="5" fontId="9" numFmtId="0" xfId="0" applyBorder="1" applyFill="1" applyFont="1"/>
    <xf borderId="30" fillId="6" fontId="15" numFmtId="0" xfId="0" applyBorder="1" applyFill="1" applyFont="1"/>
    <xf borderId="0" fillId="6" fontId="19" numFmtId="0" xfId="0" applyFill="1" applyFont="1"/>
    <xf borderId="31" fillId="6" fontId="15" numFmtId="0" xfId="0" applyBorder="1" applyFill="1" applyFont="1"/>
    <xf borderId="26" fillId="5" fontId="9" numFmtId="0" xfId="0" applyAlignment="1" applyBorder="1" applyFill="1" applyFont="1">
      <alignment horizontal="center" vertical="center"/>
    </xf>
    <xf borderId="26" fillId="5" fontId="9" numFmtId="0" xfId="0" applyAlignment="1" applyBorder="1" applyFill="1" applyFont="1">
      <alignment horizontal="center" readingOrder="0" vertical="center"/>
    </xf>
    <xf borderId="32" fillId="9" fontId="20" numFmtId="0" xfId="0" applyAlignment="1" applyBorder="1" applyFill="1" applyFont="1">
      <alignment readingOrder="0"/>
    </xf>
    <xf borderId="33" fillId="0" fontId="4" numFmtId="0" xfId="0" applyBorder="1" applyFont="1"/>
    <xf borderId="34" fillId="9" fontId="15" numFmtId="0" xfId="0" applyBorder="1" applyFill="1" applyFont="1"/>
    <xf borderId="35" fillId="9" fontId="15" numFmtId="0" xfId="0" applyBorder="1" applyFill="1" applyFont="1"/>
    <xf borderId="26" fillId="0" fontId="18" numFmtId="0" xfId="0" applyAlignment="1" applyBorder="1" applyFont="1">
      <alignment vertical="center"/>
    </xf>
    <xf borderId="36" fillId="6" fontId="15" numFmtId="0" xfId="0" applyBorder="1" applyFill="1" applyFont="1"/>
    <xf borderId="37" fillId="6" fontId="19" numFmtId="0" xfId="0" applyBorder="1" applyFill="1" applyFont="1"/>
    <xf borderId="26" fillId="0" fontId="18" numFmtId="0" xfId="0" applyAlignment="1" applyBorder="1" applyFont="1">
      <alignment readingOrder="0" vertical="center"/>
    </xf>
    <xf borderId="38" fillId="6" fontId="15" numFmtId="0" xfId="0" applyBorder="1" applyFill="1" applyFont="1"/>
    <xf borderId="0" fillId="10" fontId="12" numFmtId="0" xfId="0" applyAlignment="1" applyFill="1" applyFont="1">
      <alignment horizontal="center" readingOrder="0" shrinkToFit="0" wrapText="1"/>
    </xf>
    <xf borderId="0" fillId="0" fontId="11" numFmtId="0" xfId="0" applyAlignment="1" applyFont="1">
      <alignment horizontal="center" readingOrder="0" shrinkToFit="0" wrapText="1"/>
    </xf>
    <xf borderId="0" fillId="0" fontId="11" numFmtId="0" xfId="0" applyAlignment="1" applyFont="1">
      <alignment horizontal="center" readingOrder="0" shrinkToFit="0" wrapText="1"/>
    </xf>
    <xf borderId="10" fillId="10" fontId="12" numFmtId="0" xfId="0" applyAlignment="1" applyBorder="1" applyFill="1" applyFont="1">
      <alignment horizontal="center" shrinkToFit="0" wrapText="1"/>
    </xf>
    <xf borderId="10" fillId="10" fontId="12" numFmtId="0" xfId="0" applyAlignment="1" applyBorder="1" applyFill="1" applyFont="1">
      <alignment horizontal="center" readingOrder="0" shrinkToFit="0" wrapText="1"/>
    </xf>
    <xf borderId="39" fillId="10" fontId="12" numFmtId="0" xfId="0" applyAlignment="1" applyBorder="1" applyFill="1" applyFont="1">
      <alignment horizontal="center" readingOrder="0" shrinkToFit="0" wrapText="1"/>
    </xf>
    <xf borderId="0" fillId="6" fontId="21" numFmtId="0" xfId="0" applyAlignment="1" applyFill="1" applyFont="1">
      <alignment horizontal="center" readingOrder="0" shrinkToFit="0" wrapText="1"/>
    </xf>
    <xf borderId="40" fillId="10" fontId="12" numFmtId="0" xfId="0" applyAlignment="1" applyBorder="1" applyFill="1" applyFont="1">
      <alignment horizontal="center" readingOrder="0" shrinkToFit="0" wrapText="1"/>
    </xf>
    <xf borderId="0" fillId="0" fontId="14" numFmtId="0" xfId="0" applyAlignment="1" applyFont="1">
      <alignment vertical="center"/>
    </xf>
    <xf borderId="0" fillId="10" fontId="12" numFmtId="0" xfId="0" applyAlignment="1" applyFill="1" applyFont="1">
      <alignment horizontal="center" readingOrder="0" shrinkToFit="0" vertical="center" wrapText="1"/>
    </xf>
    <xf borderId="10" fillId="0" fontId="9" numFmtId="0" xfId="0" applyAlignment="1" applyBorder="1" applyFont="1">
      <alignment horizontal="center" readingOrder="0" shrinkToFit="0" vertical="center" wrapText="1"/>
    </xf>
    <xf borderId="26" fillId="0" fontId="22" numFmtId="0" xfId="0" applyAlignment="1" applyBorder="1" applyFont="1">
      <alignment readingOrder="0" vertical="center"/>
    </xf>
    <xf borderId="10" fillId="0" fontId="9"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center" wrapText="0"/>
    </xf>
    <xf borderId="26" fillId="0" fontId="18" numFmtId="0" xfId="0" applyAlignment="1" applyBorder="1" applyFont="1">
      <alignment readingOrder="0" vertical="center"/>
    </xf>
    <xf borderId="10" fillId="0" fontId="9" numFmtId="49" xfId="0" applyAlignment="1" applyBorder="1" applyFont="1" applyNumberFormat="1">
      <alignment horizontal="center" readingOrder="0" shrinkToFit="0" vertical="center" wrapText="1"/>
    </xf>
    <xf borderId="0" fillId="6" fontId="16" numFmtId="0" xfId="0" applyAlignment="1" applyFill="1" applyFont="1">
      <alignment vertical="center"/>
    </xf>
    <xf borderId="10" fillId="0" fontId="9" numFmtId="0" xfId="0" applyAlignment="1" applyBorder="1" applyFont="1">
      <alignment horizontal="left" readingOrder="0" shrinkToFit="0" vertical="center" wrapText="0"/>
    </xf>
    <xf borderId="26" fillId="0" fontId="23" numFmtId="0" xfId="0" applyAlignment="1" applyBorder="1" applyFont="1">
      <alignment vertical="center"/>
    </xf>
    <xf borderId="0" fillId="0" fontId="15" numFmtId="0" xfId="0" applyAlignment="1" applyFont="1">
      <alignment readingOrder="0" vertical="center"/>
    </xf>
    <xf borderId="10" fillId="0" fontId="18" numFmtId="0" xfId="0" applyAlignment="1" applyBorder="1" applyFont="1">
      <alignment shrinkToFit="0" vertical="center" wrapText="0"/>
    </xf>
    <xf borderId="10" fillId="0" fontId="18" numFmtId="0" xfId="0" applyAlignment="1" applyBorder="1" applyFont="1">
      <alignment readingOrder="0" shrinkToFit="0" vertical="center" wrapText="0"/>
    </xf>
    <xf borderId="10" fillId="0" fontId="18" numFmtId="0" xfId="0" applyAlignment="1" applyBorder="1" applyFont="1">
      <alignment readingOrder="0" shrinkToFit="0" vertical="center" wrapText="0"/>
    </xf>
    <xf borderId="10" fillId="0" fontId="18" numFmtId="0" xfId="0" applyAlignment="1" applyBorder="1" applyFont="1">
      <alignment shrinkToFit="0" vertical="center" wrapText="0"/>
    </xf>
    <xf borderId="10" fillId="0" fontId="18" numFmtId="0" xfId="0" applyAlignment="1" applyBorder="1" applyFont="1">
      <alignment horizontal="center" readingOrder="0" shrinkToFit="0" vertical="center" wrapText="0"/>
    </xf>
    <xf borderId="10" fillId="0" fontId="24" numFmtId="0" xfId="0" applyAlignment="1" applyBorder="1" applyFont="1">
      <alignment readingOrder="0" shrinkToFit="0" vertical="center" wrapText="0"/>
    </xf>
    <xf borderId="0" fillId="0" fontId="18" numFmtId="0" xfId="0" applyAlignment="1" applyFont="1">
      <alignment vertical="center"/>
    </xf>
    <xf borderId="0" fillId="0" fontId="18" numFmtId="0" xfId="0" applyAlignment="1" applyFont="1">
      <alignment shrinkToFit="0" vertical="center" wrapText="0"/>
    </xf>
    <xf borderId="0" fillId="6" fontId="18" numFmtId="0" xfId="0" applyAlignment="1" applyFill="1" applyFont="1">
      <alignment vertical="center"/>
    </xf>
    <xf borderId="10" fillId="0" fontId="18" numFmtId="0" xfId="0" applyAlignment="1" applyBorder="1" applyFont="1">
      <alignment readingOrder="0" shrinkToFit="0" vertical="center" wrapText="0"/>
    </xf>
    <xf borderId="10" fillId="0" fontId="18" numFmtId="0" xfId="0" applyAlignment="1" applyBorder="1" applyFont="1">
      <alignment shrinkToFit="0" vertical="center" wrapText="0"/>
    </xf>
    <xf borderId="10" fillId="0" fontId="18" numFmtId="0" xfId="0" applyAlignment="1" applyBorder="1" applyFont="1">
      <alignment readingOrder="0" shrinkToFit="0" vertical="center" wrapText="0"/>
    </xf>
    <xf borderId="0" fillId="0" fontId="15" numFmtId="0" xfId="0" applyAlignment="1" applyFont="1">
      <alignment vertical="center"/>
    </xf>
    <xf borderId="10" fillId="0" fontId="18" numFmtId="49" xfId="0" applyAlignment="1" applyBorder="1" applyFont="1" applyNumberFormat="1">
      <alignment readingOrder="0" shrinkToFit="0" vertical="center" wrapText="0"/>
    </xf>
    <xf borderId="10" fillId="0" fontId="18" numFmtId="49" xfId="0" applyAlignment="1" applyBorder="1" applyFont="1" applyNumberFormat="1">
      <alignment shrinkToFit="0" vertical="center" wrapText="0"/>
    </xf>
    <xf borderId="0" fillId="6" fontId="18" numFmtId="0" xfId="0" applyAlignment="1" applyFill="1" applyFont="1">
      <alignment vertical="center"/>
    </xf>
    <xf borderId="17" fillId="9" fontId="14" numFmtId="0" xfId="0" applyAlignment="1" applyBorder="1" applyFill="1" applyFont="1">
      <alignment readingOrder="0"/>
    </xf>
    <xf borderId="10" fillId="0" fontId="18" numFmtId="49" xfId="0" applyAlignment="1" applyBorder="1" applyFont="1" applyNumberFormat="1">
      <alignment readingOrder="0" shrinkToFit="0" vertical="center" wrapText="0"/>
    </xf>
    <xf borderId="0" fillId="0" fontId="18" numFmtId="0" xfId="0" applyAlignment="1" applyFont="1">
      <alignment readingOrder="0" shrinkToFit="0" vertical="center" wrapText="0"/>
    </xf>
    <xf borderId="10" fillId="0" fontId="18" numFmtId="0" xfId="0" applyAlignment="1" applyBorder="1" applyFont="1">
      <alignment readingOrder="0" shrinkToFit="0" vertical="center" wrapText="0"/>
    </xf>
    <xf borderId="0" fillId="0" fontId="14" numFmtId="0" xfId="0" applyAlignment="1" applyFont="1">
      <alignment readingOrder="0"/>
    </xf>
    <xf borderId="0" fillId="0" fontId="18" numFmtId="0" xfId="0" applyAlignment="1" applyFont="1">
      <alignment shrinkToFit="0" vertical="center" wrapText="0"/>
    </xf>
    <xf borderId="10" fillId="0" fontId="14" numFmtId="0" xfId="0" applyAlignment="1" applyBorder="1" applyFont="1">
      <alignment readingOrder="0" shrinkToFit="0" vertical="center" wrapText="0"/>
    </xf>
    <xf borderId="0" fillId="0" fontId="15" numFmtId="0" xfId="0" applyFont="1"/>
    <xf borderId="0" fillId="0" fontId="14" numFmtId="0" xfId="0" applyFont="1"/>
    <xf borderId="16" fillId="0" fontId="15" numFmtId="0" xfId="0" applyBorder="1" applyFont="1"/>
    <xf borderId="41" fillId="6" fontId="19" numFmtId="0" xfId="0" applyBorder="1" applyFill="1" applyFont="1"/>
    <xf borderId="23" fillId="0" fontId="15" numFmtId="0" xfId="0" applyBorder="1" applyFont="1"/>
    <xf borderId="0" fillId="6" fontId="16" numFmtId="0" xfId="0" applyFill="1" applyFont="1"/>
    <xf borderId="41" fillId="6" fontId="16" numFmtId="0" xfId="0" applyBorder="1" applyFill="1" applyFont="1"/>
    <xf borderId="0" fillId="0" fontId="18"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shrinkToFit="0" vertical="center" wrapText="0"/>
    </xf>
    <xf borderId="10" fillId="0" fontId="14" numFmtId="0" xfId="0" applyAlignment="1" applyBorder="1" applyFont="1">
      <alignment shrinkToFit="0" vertical="center" wrapText="0"/>
    </xf>
    <xf borderId="42" fillId="6" fontId="16" numFmtId="0" xfId="0" applyBorder="1" applyFill="1" applyFont="1"/>
    <xf borderId="1" fillId="10" fontId="12" numFmtId="0" xfId="0" applyAlignment="1" applyBorder="1" applyFill="1" applyFont="1">
      <alignment readingOrder="0"/>
    </xf>
    <xf borderId="0" fillId="0" fontId="14" numFmtId="0" xfId="0" applyAlignment="1" applyFont="1">
      <alignment readingOrder="0"/>
    </xf>
    <xf borderId="13" fillId="4" fontId="3" numFmtId="0" xfId="0" applyAlignment="1" applyBorder="1" applyFill="1" applyFont="1">
      <alignment horizontal="right" readingOrder="0" vertical="center"/>
    </xf>
    <xf borderId="0" fillId="0" fontId="18" numFmtId="0" xfId="0" applyAlignment="1" applyFont="1">
      <alignment readingOrder="0" vertical="center"/>
    </xf>
    <xf borderId="0" fillId="0" fontId="14" numFmtId="0" xfId="0" applyAlignment="1" applyFont="1">
      <alignment readingOrder="0" shrinkToFit="0" vertical="center" wrapText="0"/>
    </xf>
    <xf borderId="0" fillId="0" fontId="18"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0A5293"/>
          <bgColor rgb="FF0A5293"/>
        </patternFill>
      </fill>
      <border/>
    </dxf>
    <dxf>
      <font/>
      <fill>
        <patternFill patternType="solid">
          <fgColor rgb="FFFFFFFF"/>
          <bgColor rgb="FFFFFFFF"/>
        </patternFill>
      </fill>
      <border/>
    </dxf>
    <dxf>
      <font/>
      <fill>
        <patternFill patternType="solid">
          <fgColor rgb="FFE5F2FF"/>
          <bgColor rgb="FFE5F2FF"/>
        </patternFill>
      </fill>
      <border/>
    </dxf>
    <dxf>
      <border>
        <left style="thin">
          <color rgb="FF0A5293"/>
        </left>
        <right style="thin">
          <color rgb="FF0A5293"/>
        </right>
        <top style="thin">
          <color rgb="FF0A5293"/>
        </top>
        <bottom style="thin">
          <color rgb="FF0A5293"/>
        </bottom>
      </border>
    </dxf>
    <dxf>
      <font/>
      <fill>
        <patternFill patternType="solid">
          <fgColor rgb="FFD2E3FF"/>
          <bgColor rgb="FFD2E3FF"/>
        </patternFill>
      </fill>
      <border/>
    </dxf>
    <dxf>
      <font/>
      <fill>
        <patternFill patternType="solid">
          <fgColor rgb="FF00FFFF"/>
          <bgColor rgb="FF00FFFF"/>
        </patternFill>
      </fill>
      <border/>
    </dxf>
  </dxfs>
  <tableStyles count="73">
    <tableStyle count="4" pivot="0" name="אנשי קשר-style">
      <tableStyleElement dxfId="1" type="headerRow"/>
      <tableStyleElement dxfId="2" type="firstRowStripe"/>
      <tableStyleElement dxfId="3" type="secondRowStripe"/>
      <tableStyleElement dxfId="4" size="0" type="wholeTable"/>
    </tableStyle>
    <tableStyle count="4" pivot="0" name="תבנית-style">
      <tableStyleElement dxfId="1" type="headerRow"/>
      <tableStyleElement dxfId="2" type="firstRowStripe"/>
      <tableStyleElement dxfId="3" type="secondRowStripe"/>
      <tableStyleElement dxfId="4" size="0" type="wholeTable"/>
    </tableStyle>
    <tableStyle count="2" pivot="0" name="אינדקס-style">
      <tableStyleElement dxfId="2" type="firstRowStripe"/>
      <tableStyleElement dxfId="5" type="secondRowStripe"/>
    </tableStyle>
    <tableStyle count="4" pivot="0" name="תבנית-style 2">
      <tableStyleElement dxfId="1" type="headerRow"/>
      <tableStyleElement dxfId="2" type="firstRowStripe"/>
      <tableStyleElement dxfId="3" type="secondRowStripe"/>
      <tableStyleElement dxfId="4" size="0" type="wholeTable"/>
    </tableStyle>
    <tableStyle count="4" pivot="0" name="אנשי קשר-style 2">
      <tableStyleElement dxfId="1" type="headerRow"/>
      <tableStyleElement dxfId="2" type="firstRowStripe"/>
      <tableStyleElement dxfId="3" type="secondRowStripe"/>
      <tableStyleElement dxfId="4" size="0" type="wholeTable"/>
    </tableStyle>
    <tableStyle count="4" pivot="0" name="בק אנד (סוגי ישיות)-style">
      <tableStyleElement dxfId="1" type="headerRow"/>
      <tableStyleElement dxfId="2" type="firstRowStripe"/>
      <tableStyleElement dxfId="3" type="secondRowStripe"/>
      <tableStyleElement dxfId="4" size="0" type="wholeTable"/>
    </tableStyle>
    <tableStyle count="4" pivot="0" name="אנשי קשר-style 3">
      <tableStyleElement dxfId="1" type="headerRow"/>
      <tableStyleElement dxfId="2" type="firstRowStripe"/>
      <tableStyleElement dxfId="3" type="secondRowStripe"/>
      <tableStyleElement dxfId="4" size="0" type="wholeTable"/>
    </tableStyle>
    <tableStyle count="4" pivot="0" name="תבנית-style 3">
      <tableStyleElement dxfId="1" type="headerRow"/>
      <tableStyleElement dxfId="2" type="firstRowStripe"/>
      <tableStyleElement dxfId="3" type="secondRowStripe"/>
      <tableStyleElement dxfId="4" size="0" type="wholeTable"/>
    </tableStyle>
    <tableStyle count="4" pivot="0" name="תבנית-style 4">
      <tableStyleElement dxfId="1" type="headerRow"/>
      <tableStyleElement dxfId="2" type="firstRowStripe"/>
      <tableStyleElement dxfId="3" type="secondRowStripe"/>
      <tableStyleElement dxfId="4" size="0" type="wholeTable"/>
    </tableStyle>
    <tableStyle count="4" pivot="0" name="אנשי קשר-style 4">
      <tableStyleElement dxfId="1" type="headerRow"/>
      <tableStyleElement dxfId="2" type="firstRowStripe"/>
      <tableStyleElement dxfId="3" type="secondRowStripe"/>
      <tableStyleElement dxfId="4" size="0" type="wholeTable"/>
    </tableStyle>
    <tableStyle count="4" pivot="0" name="בק אנד (סוגי ישיות)-style 2">
      <tableStyleElement dxfId="1" type="headerRow"/>
      <tableStyleElement dxfId="2" type="firstRowStripe"/>
      <tableStyleElement dxfId="3" type="secondRowStripe"/>
      <tableStyleElement dxfId="4" size="0" type="wholeTable"/>
    </tableStyle>
    <tableStyle count="4" pivot="0" name="בק אנד (סוגי ישיות)-style 3">
      <tableStyleElement dxfId="1" type="headerRow"/>
      <tableStyleElement dxfId="2" type="firstRowStripe"/>
      <tableStyleElement dxfId="3" type="secondRowStripe"/>
      <tableStyleElement dxfId="4" size="0" type="wholeTable"/>
    </tableStyle>
    <tableStyle count="4" pivot="0" name="בק אנד (סוגי ישיות)-style 4">
      <tableStyleElement dxfId="1" type="headerRow"/>
      <tableStyleElement dxfId="2" type="firstRowStripe"/>
      <tableStyleElement dxfId="3" type="secondRowStripe"/>
      <tableStyleElement dxfId="4" size="0" type="wholeTable"/>
    </tableStyle>
    <tableStyle count="4" pivot="0" name="לקוחות-style">
      <tableStyleElement dxfId="1" type="headerRow"/>
      <tableStyleElement dxfId="2" type="firstRowStripe"/>
      <tableStyleElement dxfId="3" type="secondRowStripe"/>
      <tableStyleElement dxfId="4" size="0" type="wholeTable"/>
    </tableStyle>
    <tableStyle count="4" pivot="0" name="לקוחות-style 2">
      <tableStyleElement dxfId="1" type="headerRow"/>
      <tableStyleElement dxfId="2" type="firstRowStripe"/>
      <tableStyleElement dxfId="3" type="secondRowStripe"/>
      <tableStyleElement dxfId="4" size="0" type="wholeTable"/>
    </tableStyle>
    <tableStyle count="4" pivot="0" name="לקוחות-style 3">
      <tableStyleElement dxfId="1" type="headerRow"/>
      <tableStyleElement dxfId="2" type="firstRowStripe"/>
      <tableStyleElement dxfId="3" type="secondRowStripe"/>
      <tableStyleElement dxfId="4" size="0" type="wholeTable"/>
    </tableStyle>
    <tableStyle count="4" pivot="0" name="לקוחות-style 4">
      <tableStyleElement dxfId="1" type="headerRow"/>
      <tableStyleElement dxfId="2" type="firstRowStripe"/>
      <tableStyleElement dxfId="3" type="secondRowStripe"/>
      <tableStyleElement dxfId="4" size="0" type="wholeTable"/>
    </tableStyle>
    <tableStyle count="4" pivot="0" name="קטלוג שירותים-style">
      <tableStyleElement dxfId="1" type="headerRow"/>
      <tableStyleElement dxfId="2" type="firstRowStripe"/>
      <tableStyleElement dxfId="3" type="secondRowStripe"/>
      <tableStyleElement dxfId="4" size="0" type="wholeTable"/>
    </tableStyle>
    <tableStyle count="4" pivot="0" name="קטלוג שירותים-style 2">
      <tableStyleElement dxfId="1" type="headerRow"/>
      <tableStyleElement dxfId="2" type="firstRowStripe"/>
      <tableStyleElement dxfId="3" type="secondRowStripe"/>
      <tableStyleElement dxfId="4" size="0" type="wholeTable"/>
    </tableStyle>
    <tableStyle count="4" pivot="0" name="קטלוג שירותים-style 3">
      <tableStyleElement dxfId="1" type="headerRow"/>
      <tableStyleElement dxfId="2" type="firstRowStripe"/>
      <tableStyleElement dxfId="3" type="secondRowStripe"/>
      <tableStyleElement dxfId="4" size="0" type="wholeTable"/>
    </tableStyle>
    <tableStyle count="4" pivot="0" name="קטלוג שירותים-style 4">
      <tableStyleElement dxfId="1" type="headerRow"/>
      <tableStyleElement dxfId="2" type="firstRowStripe"/>
      <tableStyleElement dxfId="3" type="secondRowStripe"/>
      <tableStyleElement dxfId="4" size="0" type="wholeTable"/>
    </tableStyle>
    <tableStyle count="4" pivot="0" name="עסקאות-style">
      <tableStyleElement dxfId="1" type="headerRow"/>
      <tableStyleElement dxfId="2" type="firstRowStripe"/>
      <tableStyleElement dxfId="3" type="secondRowStripe"/>
      <tableStyleElement dxfId="4" size="0" type="wholeTable"/>
    </tableStyle>
    <tableStyle count="4" pivot="0" name="עסקאות-style 2">
      <tableStyleElement dxfId="1" type="headerRow"/>
      <tableStyleElement dxfId="2" type="firstRowStripe"/>
      <tableStyleElement dxfId="3" type="secondRowStripe"/>
      <tableStyleElement dxfId="4" size="0" type="wholeTable"/>
    </tableStyle>
    <tableStyle count="4" pivot="0" name="עסקאות-style 3">
      <tableStyleElement dxfId="1" type="headerRow"/>
      <tableStyleElement dxfId="2" type="firstRowStripe"/>
      <tableStyleElement dxfId="3" type="secondRowStripe"/>
      <tableStyleElement dxfId="4" size="0" type="wholeTable"/>
    </tableStyle>
    <tableStyle count="4" pivot="0" name="עסקאות-style 4">
      <tableStyleElement dxfId="1" type="headerRow"/>
      <tableStyleElement dxfId="2" type="firstRowStripe"/>
      <tableStyleElement dxfId="3" type="secondRowStripe"/>
      <tableStyleElement dxfId="4" size="0" type="wholeTable"/>
    </tableStyle>
    <tableStyle count="4" pivot="0" name="תקשורת-style">
      <tableStyleElement dxfId="1" type="headerRow"/>
      <tableStyleElement dxfId="2" type="firstRowStripe"/>
      <tableStyleElement dxfId="3" type="secondRowStripe"/>
      <tableStyleElement dxfId="4" size="0" type="wholeTable"/>
    </tableStyle>
    <tableStyle count="4" pivot="0" name="תקשורת-style 2">
      <tableStyleElement dxfId="1" type="headerRow"/>
      <tableStyleElement dxfId="2" type="firstRowStripe"/>
      <tableStyleElement dxfId="3" type="secondRowStripe"/>
      <tableStyleElement dxfId="4" size="0" type="wholeTable"/>
    </tableStyle>
    <tableStyle count="4" pivot="0" name="תקשורת-style 3">
      <tableStyleElement dxfId="1" type="headerRow"/>
      <tableStyleElement dxfId="2" type="firstRowStripe"/>
      <tableStyleElement dxfId="3" type="secondRowStripe"/>
      <tableStyleElement dxfId="4" size="0" type="wholeTable"/>
    </tableStyle>
    <tableStyle count="4" pivot="0" name="תקשורת-style 4">
      <tableStyleElement dxfId="1" type="headerRow"/>
      <tableStyleElement dxfId="2" type="firstRowStripe"/>
      <tableStyleElement dxfId="3" type="secondRowStripe"/>
      <tableStyleElement dxfId="4" size="0" type="wholeTable"/>
    </tableStyle>
    <tableStyle count="4" pivot="0" name="משימות-style">
      <tableStyleElement dxfId="1" type="headerRow"/>
      <tableStyleElement dxfId="2" type="firstRowStripe"/>
      <tableStyleElement dxfId="3" type="secondRowStripe"/>
      <tableStyleElement dxfId="4" size="0" type="wholeTable"/>
    </tableStyle>
    <tableStyle count="4" pivot="0" name="משימות-style 2">
      <tableStyleElement dxfId="1" type="headerRow"/>
      <tableStyleElement dxfId="2" type="firstRowStripe"/>
      <tableStyleElement dxfId="3" type="secondRowStripe"/>
      <tableStyleElement dxfId="4" size="0" type="wholeTable"/>
    </tableStyle>
    <tableStyle count="4" pivot="0" name="משימות-style 3">
      <tableStyleElement dxfId="1" type="headerRow"/>
      <tableStyleElement dxfId="2" type="firstRowStripe"/>
      <tableStyleElement dxfId="3" type="secondRowStripe"/>
      <tableStyleElement dxfId="4" size="0" type="wholeTable"/>
    </tableStyle>
    <tableStyle count="4" pivot="0" name="משימות-style 4">
      <tableStyleElement dxfId="1" type="headerRow"/>
      <tableStyleElement dxfId="2" type="firstRowStripe"/>
      <tableStyleElement dxfId="3" type="secondRowStripe"/>
      <tableStyleElement dxfId="4" size="0" type="wholeTable"/>
    </tableStyle>
    <tableStyle count="4" pivot="0" name="עובד משרד-style">
      <tableStyleElement dxfId="1" type="headerRow"/>
      <tableStyleElement dxfId="2" type="firstRowStripe"/>
      <tableStyleElement dxfId="3" type="secondRowStripe"/>
      <tableStyleElement dxfId="4" size="0" type="wholeTable"/>
    </tableStyle>
    <tableStyle count="4" pivot="0" name="עובד משרד-style 2">
      <tableStyleElement dxfId="1" type="headerRow"/>
      <tableStyleElement dxfId="2" type="firstRowStripe"/>
      <tableStyleElement dxfId="3" type="secondRowStripe"/>
      <tableStyleElement dxfId="4" size="0" type="wholeTable"/>
    </tableStyle>
    <tableStyle count="4" pivot="0" name="עובד משרד-style 3">
      <tableStyleElement dxfId="1" type="headerRow"/>
      <tableStyleElement dxfId="2" type="firstRowStripe"/>
      <tableStyleElement dxfId="3" type="secondRowStripe"/>
      <tableStyleElement dxfId="4" size="0" type="wholeTable"/>
    </tableStyle>
    <tableStyle count="4" pivot="0" name="עובד משרד-style 4">
      <tableStyleElement dxfId="1" type="headerRow"/>
      <tableStyleElement dxfId="2" type="firstRowStripe"/>
      <tableStyleElement dxfId="3" type="secondRowStripe"/>
      <tableStyleElement dxfId="4" size="0" type="wholeTable"/>
    </tableStyle>
    <tableStyle count="4" pivot="0" name="תבניות חובת דיווח-style">
      <tableStyleElement dxfId="1" type="headerRow"/>
      <tableStyleElement dxfId="2" type="firstRowStripe"/>
      <tableStyleElement dxfId="3" type="secondRowStripe"/>
      <tableStyleElement dxfId="4" size="0" type="wholeTable"/>
    </tableStyle>
    <tableStyle count="4" pivot="0" name="תבניות חובת דיווח-style 2">
      <tableStyleElement dxfId="1" type="headerRow"/>
      <tableStyleElement dxfId="2" type="firstRowStripe"/>
      <tableStyleElement dxfId="3" type="secondRowStripe"/>
      <tableStyleElement dxfId="4" size="0" type="wholeTable"/>
    </tableStyle>
    <tableStyle count="4" pivot="0" name="תבניות חובת דיווח-style 3">
      <tableStyleElement dxfId="1" type="headerRow"/>
      <tableStyleElement dxfId="2" type="firstRowStripe"/>
      <tableStyleElement dxfId="3" type="secondRowStripe"/>
      <tableStyleElement dxfId="4" size="0" type="wholeTable"/>
    </tableStyle>
    <tableStyle count="4" pivot="0" name="תבניות חובת דיווח-style 4">
      <tableStyleElement dxfId="1" type="headerRow"/>
      <tableStyleElement dxfId="2" type="firstRowStripe"/>
      <tableStyleElement dxfId="3" type="secondRowStripe"/>
      <tableStyleElement dxfId="4" size="0" type="wholeTable"/>
    </tableStyle>
    <tableStyle count="4" pivot="0" name="הגשות-style">
      <tableStyleElement dxfId="1" type="headerRow"/>
      <tableStyleElement dxfId="2" type="firstRowStripe"/>
      <tableStyleElement dxfId="3" type="secondRowStripe"/>
      <tableStyleElement dxfId="4" size="0" type="wholeTable"/>
    </tableStyle>
    <tableStyle count="4" pivot="0" name="הגשות-style 2">
      <tableStyleElement dxfId="1" type="headerRow"/>
      <tableStyleElement dxfId="2" type="firstRowStripe"/>
      <tableStyleElement dxfId="3" type="secondRowStripe"/>
      <tableStyleElement dxfId="4" size="0" type="wholeTable"/>
    </tableStyle>
    <tableStyle count="4" pivot="0" name="הגשות-style 3">
      <tableStyleElement dxfId="1" type="headerRow"/>
      <tableStyleElement dxfId="2" type="firstRowStripe"/>
      <tableStyleElement dxfId="3" type="secondRowStripe"/>
      <tableStyleElement dxfId="4" size="0" type="wholeTable"/>
    </tableStyle>
    <tableStyle count="4" pivot="0" name="הגשות-style 4">
      <tableStyleElement dxfId="1" type="headerRow"/>
      <tableStyleElement dxfId="2" type="firstRowStripe"/>
      <tableStyleElement dxfId="3" type="secondRowStripe"/>
      <tableStyleElement dxfId="4" size="0" type="wholeTable"/>
    </tableStyle>
    <tableStyle count="4" pivot="0" name="דרישת חומר תקופתי-style">
      <tableStyleElement dxfId="1" type="headerRow"/>
      <tableStyleElement dxfId="2" type="firstRowStripe"/>
      <tableStyleElement dxfId="3" type="secondRowStripe"/>
      <tableStyleElement dxfId="4" size="0" type="wholeTable"/>
    </tableStyle>
    <tableStyle count="4" pivot="0" name="מסמכים-style">
      <tableStyleElement dxfId="1" type="headerRow"/>
      <tableStyleElement dxfId="2" type="firstRowStripe"/>
      <tableStyleElement dxfId="3" type="secondRowStripe"/>
      <tableStyleElement dxfId="4" size="0" type="wholeTable"/>
    </tableStyle>
    <tableStyle count="4" pivot="0" name="דרישת חומר תקופתי-style 2">
      <tableStyleElement dxfId="1" type="headerRow"/>
      <tableStyleElement dxfId="2" type="firstRowStripe"/>
      <tableStyleElement dxfId="3" type="secondRowStripe"/>
      <tableStyleElement dxfId="4" size="0" type="wholeTable"/>
    </tableStyle>
    <tableStyle count="4" pivot="0" name="מסמכים-style 2">
      <tableStyleElement dxfId="1" type="headerRow"/>
      <tableStyleElement dxfId="2" type="firstRowStripe"/>
      <tableStyleElement dxfId="3" type="secondRowStripe"/>
      <tableStyleElement dxfId="4" size="0" type="wholeTable"/>
    </tableStyle>
    <tableStyle count="4" pivot="0" name="דרישת חומר תקופתי-style 3">
      <tableStyleElement dxfId="1" type="headerRow"/>
      <tableStyleElement dxfId="2" type="firstRowStripe"/>
      <tableStyleElement dxfId="3" type="secondRowStripe"/>
      <tableStyleElement dxfId="4" size="0" type="wholeTable"/>
    </tableStyle>
    <tableStyle count="4" pivot="0" name="מסמכים-style 3">
      <tableStyleElement dxfId="1" type="headerRow"/>
      <tableStyleElement dxfId="2" type="firstRowStripe"/>
      <tableStyleElement dxfId="3" type="secondRowStripe"/>
      <tableStyleElement dxfId="4" size="0" type="wholeTable"/>
    </tableStyle>
    <tableStyle count="4" pivot="0" name="דרישת חומר תקופתי-style 4">
      <tableStyleElement dxfId="1" type="headerRow"/>
      <tableStyleElement dxfId="2" type="firstRowStripe"/>
      <tableStyleElement dxfId="3" type="secondRowStripe"/>
      <tableStyleElement dxfId="4" size="0" type="wholeTable"/>
    </tableStyle>
    <tableStyle count="4" pivot="0" name="מסמכים-style 4">
      <tableStyleElement dxfId="1" type="headerRow"/>
      <tableStyleElement dxfId="2" type="firstRowStripe"/>
      <tableStyleElement dxfId="3" type="secondRowStripe"/>
      <tableStyleElement dxfId="4" size="0" type="wholeTable"/>
    </tableStyle>
    <tableStyle count="4" pivot="0" name="אישורים והוראות לקוח-style">
      <tableStyleElement dxfId="1" type="headerRow"/>
      <tableStyleElement dxfId="2" type="firstRowStripe"/>
      <tableStyleElement dxfId="3" type="secondRowStripe"/>
      <tableStyleElement dxfId="4" size="0" type="wholeTable"/>
    </tableStyle>
    <tableStyle count="4" pivot="0" name="אישורים והוראות לקוח-style 2">
      <tableStyleElement dxfId="1" type="headerRow"/>
      <tableStyleElement dxfId="2" type="firstRowStripe"/>
      <tableStyleElement dxfId="3" type="secondRowStripe"/>
      <tableStyleElement dxfId="4" size="0" type="wholeTable"/>
    </tableStyle>
    <tableStyle count="4" pivot="0" name="אישורים והוראות לקוח-style 3">
      <tableStyleElement dxfId="1" type="headerRow"/>
      <tableStyleElement dxfId="2" type="firstRowStripe"/>
      <tableStyleElement dxfId="3" type="secondRowStripe"/>
      <tableStyleElement dxfId="4" size="0" type="wholeTable"/>
    </tableStyle>
    <tableStyle count="4" pivot="0" name="אישורים והוראות לקוח-style 4">
      <tableStyleElement dxfId="1" type="headerRow"/>
      <tableStyleElement dxfId="2" type="firstRowStripe"/>
      <tableStyleElement dxfId="3" type="secondRowStripe"/>
      <tableStyleElement dxfId="4" size="0" type="wholeTable"/>
    </tableStyle>
    <tableStyle count="4" pivot="0" name="חובות מס לתשלום-style">
      <tableStyleElement dxfId="1" type="headerRow"/>
      <tableStyleElement dxfId="2" type="firstRowStripe"/>
      <tableStyleElement dxfId="3" type="secondRowStripe"/>
      <tableStyleElement dxfId="4" size="0" type="wholeTable"/>
    </tableStyle>
    <tableStyle count="4" pivot="0" name="חובות מס לתשלום-style 2">
      <tableStyleElement dxfId="1" type="headerRow"/>
      <tableStyleElement dxfId="2" type="firstRowStripe"/>
      <tableStyleElement dxfId="3" type="secondRowStripe"/>
      <tableStyleElement dxfId="4" size="0" type="wholeTable"/>
    </tableStyle>
    <tableStyle count="4" pivot="0" name="חובות מס לתשלום-style 3">
      <tableStyleElement dxfId="1" type="headerRow"/>
      <tableStyleElement dxfId="2" type="firstRowStripe"/>
      <tableStyleElement dxfId="3" type="secondRowStripe"/>
      <tableStyleElement dxfId="4" size="0" type="wholeTable"/>
    </tableStyle>
    <tableStyle count="4" pivot="0" name="חובות מס לתשלום-style 4">
      <tableStyleElement dxfId="1" type="headerRow"/>
      <tableStyleElement dxfId="2" type="firstRowStripe"/>
      <tableStyleElement dxfId="3" type="secondRowStripe"/>
      <tableStyleElement dxfId="4" size="0" type="wholeTable"/>
    </tableStyle>
    <tableStyle count="4" pivot="0" name="תבנית חובת תשלום-style">
      <tableStyleElement dxfId="1" type="headerRow"/>
      <tableStyleElement dxfId="2" type="firstRowStripe"/>
      <tableStyleElement dxfId="3" type="secondRowStripe"/>
      <tableStyleElement dxfId="4" size="0" type="wholeTable"/>
    </tableStyle>
    <tableStyle count="4" pivot="0" name="תבנית חובת תשלום-style 2">
      <tableStyleElement dxfId="1" type="headerRow"/>
      <tableStyleElement dxfId="2" type="firstRowStripe"/>
      <tableStyleElement dxfId="3" type="secondRowStripe"/>
      <tableStyleElement dxfId="4" size="0" type="wholeTable"/>
    </tableStyle>
    <tableStyle count="4" pivot="0" name="תבנית חובת תשלום-style 3">
      <tableStyleElement dxfId="1" type="headerRow"/>
      <tableStyleElement dxfId="2" type="firstRowStripe"/>
      <tableStyleElement dxfId="3" type="secondRowStripe"/>
      <tableStyleElement dxfId="4" size="0" type="wholeTable"/>
    </tableStyle>
    <tableStyle count="4" pivot="0" name="תבנית חובת תשלום-style 4">
      <tableStyleElement dxfId="1" type="headerRow"/>
      <tableStyleElement dxfId="2" type="firstRowStripe"/>
      <tableStyleElement dxfId="3" type="secondRowStripe"/>
      <tableStyleElement dxfId="4" size="0" type="wholeTable"/>
    </tableStyle>
    <tableStyle count="4" pivot="0" name="הרצת שכר-style">
      <tableStyleElement dxfId="1" type="headerRow"/>
      <tableStyleElement dxfId="2" type="firstRowStripe"/>
      <tableStyleElement dxfId="3" type="secondRowStripe"/>
      <tableStyleElement dxfId="4" size="0" type="wholeTable"/>
    </tableStyle>
    <tableStyle count="4" pivot="0" name="הרצת שכר-style 2">
      <tableStyleElement dxfId="1" type="headerRow"/>
      <tableStyleElement dxfId="2" type="firstRowStripe"/>
      <tableStyleElement dxfId="3" type="secondRowStripe"/>
      <tableStyleElement dxfId="4" size="0" type="wholeTable"/>
    </tableStyle>
    <tableStyle count="4" pivot="0" name="הרצת שכר-style 3">
      <tableStyleElement dxfId="1" type="headerRow"/>
      <tableStyleElement dxfId="2" type="firstRowStripe"/>
      <tableStyleElement dxfId="3" type="secondRowStripe"/>
      <tableStyleElement dxfId="4" size="0" type="wholeTable"/>
    </tableStyle>
    <tableStyle count="4" pivot="0" name="הרצת שכר-style 4">
      <tableStyleElement dxfId="1" type="headerRow"/>
      <tableStyleElement dxfId="2" type="firstRowStripe"/>
      <tableStyleElement dxfId="3" type="secondRowStripe"/>
      <tableStyleElement dxfId="4" size="0" type="wholeTable"/>
    </tableStyle>
    <tableStyle count="4" pivot="0" name="רשימת עובדי לקוחות-style">
      <tableStyleElement dxfId="1" type="headerRow"/>
      <tableStyleElement dxfId="2" type="firstRowStripe"/>
      <tableStyleElement dxfId="3" type="secondRowStripe"/>
      <tableStyleElement dxfId="4" size="0" type="wholeTable"/>
    </tableStyle>
    <tableStyle count="4" pivot="0" name="רשימת עובדי לקוחות-style 2">
      <tableStyleElement dxfId="1" type="headerRow"/>
      <tableStyleElement dxfId="2" type="firstRowStripe"/>
      <tableStyleElement dxfId="3" type="secondRowStripe"/>
      <tableStyleElement dxfId="4" size="0" type="wholeTable"/>
    </tableStyle>
    <tableStyle count="4" pivot="0" name="רשימת עובדי לקוחות-style 3">
      <tableStyleElement dxfId="1" type="headerRow"/>
      <tableStyleElement dxfId="2" type="firstRowStripe"/>
      <tableStyleElement dxfId="3" type="secondRowStripe"/>
      <tableStyleElement dxfId="4" size="0" type="wholeTable"/>
    </tableStyle>
    <tableStyle count="4" pivot="0" name="רשימת עובדי לקוחות-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2314575</xdr:colOff>
      <xdr:row>4</xdr:row>
      <xdr:rowOff>495300</xdr:rowOff>
    </xdr:from>
    <xdr:ext cx="1581150" cy="495300"/>
    <xdr:sp>
      <xdr:nvSpPr>
        <xdr:cNvPr id="3" name="Shape 3"/>
        <xdr:cNvSpPr txBox="1"/>
      </xdr:nvSpPr>
      <xdr:spPr>
        <a:xfrm>
          <a:off x="3146800" y="1207975"/>
          <a:ext cx="1563300" cy="477000"/>
        </a:xfrm>
        <a:prstGeom prst="rect">
          <a:avLst/>
        </a:prstGeom>
        <a:noFill/>
        <a:ln cap="flat" cmpd="sng" w="9525">
          <a:solidFill>
            <a:srgbClr val="0000FF"/>
          </a:solidFill>
          <a:prstDash val="solid"/>
          <a:round/>
          <a:headEnd len="sm" w="sm" type="none"/>
          <a:tailEnd len="sm" w="sm" type="none"/>
        </a:ln>
      </xdr:spPr>
      <xdr:txBody>
        <a:bodyPr anchorCtr="0" anchor="ctr" bIns="91425" lIns="91425" spcFirstLastPara="1" rIns="91425" wrap="square" tIns="91425">
          <a:noAutofit/>
        </a:bodyPr>
        <a:lstStyle/>
        <a:p>
          <a:pPr indent="-381000" lvl="0" marL="457200" rtl="1" algn="ctr">
            <a:spcBef>
              <a:spcPts val="0"/>
            </a:spcBef>
            <a:spcAft>
              <a:spcPts val="0"/>
            </a:spcAft>
            <a:buClr>
              <a:srgbClr val="0000FF"/>
            </a:buClr>
            <a:buSzPts val="2400"/>
            <a:buFont typeface="Aharoni"/>
            <a:buChar char="+"/>
          </a:pPr>
          <a:r>
            <a:rPr lang="en-US" sz="1400"/>
            <a:t>הוספת גיליון</a:t>
          </a:r>
          <a:endParaRPr sz="1400">
            <a:latin typeface="Aharoni"/>
            <a:ea typeface="Aharoni"/>
            <a:cs typeface="Aharoni"/>
            <a:sym typeface="Aharoni"/>
          </a:endParaRPr>
        </a:p>
      </xdr:txBody>
    </xdr:sp>
    <xdr:clientData fLocksWithSheet="0"/>
  </xdr:oneCellAnchor>
  <xdr:oneCellAnchor>
    <xdr:from>
      <xdr:col>3</xdr:col>
      <xdr:colOff>95250</xdr:colOff>
      <xdr:row>7</xdr:row>
      <xdr:rowOff>152400</xdr:rowOff>
    </xdr:from>
    <xdr:ext cx="1438275" cy="561975"/>
    <xdr:sp>
      <xdr:nvSpPr>
        <xdr:cNvPr id="4" name="Shape 4"/>
        <xdr:cNvSpPr txBox="1"/>
      </xdr:nvSpPr>
      <xdr:spPr>
        <a:xfrm>
          <a:off x="3238150" y="1756125"/>
          <a:ext cx="1421100" cy="538200"/>
        </a:xfrm>
        <a:prstGeom prst="rect">
          <a:avLst/>
        </a:prstGeom>
        <a:noFill/>
        <a:ln cap="flat" cmpd="sng" w="9525">
          <a:solidFill>
            <a:srgbClr val="0000FF"/>
          </a:solidFill>
          <a:prstDash val="solid"/>
          <a:round/>
          <a:headEnd len="sm" w="sm" type="none"/>
          <a:tailEnd len="sm" w="sm" type="none"/>
        </a:ln>
      </xdr:spPr>
      <xdr:txBody>
        <a:bodyPr anchorCtr="0" anchor="ctr" bIns="91425" lIns="91425" spcFirstLastPara="1" rIns="91425" wrap="square" tIns="91425">
          <a:noAutofit/>
        </a:bodyPr>
        <a:lstStyle/>
        <a:p>
          <a:pPr indent="0" lvl="0" marL="0" rtl="1" algn="ctr">
            <a:spcBef>
              <a:spcPts val="0"/>
            </a:spcBef>
            <a:spcAft>
              <a:spcPts val="0"/>
            </a:spcAft>
            <a:buNone/>
          </a:pPr>
          <a:r>
            <a:rPr b="1" lang="en-US" sz="2200">
              <a:solidFill>
                <a:srgbClr val="0000FF"/>
              </a:solidFill>
            </a:rPr>
            <a:t>–</a:t>
          </a:r>
          <a:r>
            <a:rPr lang="en-US" sz="1400"/>
            <a:t> מחיקת גיליון</a:t>
          </a:r>
          <a:endParaRPr sz="1400"/>
        </a:p>
      </xdr:txBody>
    </xdr:sp>
    <xdr:clientData fLocksWithSheet="0"/>
  </xdr:oneCellAnchor>
  <xdr:oneCellAnchor>
    <xdr:from>
      <xdr:col>0</xdr:col>
      <xdr:colOff>95250</xdr:colOff>
      <xdr:row>4</xdr:row>
      <xdr:rowOff>19050</xdr:rowOff>
    </xdr:from>
    <xdr:ext cx="1781175" cy="285750"/>
    <xdr:grpSp>
      <xdr:nvGrpSpPr>
        <xdr:cNvPr id="2" name="Shape 2" title="שרטוט"/>
        <xdr:cNvGrpSpPr/>
      </xdr:nvGrpSpPr>
      <xdr:grpSpPr>
        <a:xfrm>
          <a:off x="3075750" y="1289175"/>
          <a:ext cx="2131800" cy="264000"/>
          <a:chOff x="3075750" y="1289175"/>
          <a:chExt cx="2131800" cy="264000"/>
        </a:xfrm>
      </xdr:grpSpPr>
      <xdr:sp>
        <xdr:nvSpPr>
          <xdr:cNvPr id="5" name="Shape 5"/>
          <xdr:cNvSpPr txBox="1"/>
        </xdr:nvSpPr>
        <xdr:spPr>
          <a:xfrm>
            <a:off x="3075750" y="1289175"/>
            <a:ext cx="2131800" cy="264000"/>
          </a:xfrm>
          <a:prstGeom prst="rect">
            <a:avLst/>
          </a:prstGeom>
          <a:noFill/>
          <a:ln cap="flat" cmpd="sng" w="9525">
            <a:solidFill>
              <a:srgbClr val="1155CC"/>
            </a:solidFill>
            <a:prstDash val="solid"/>
            <a:round/>
            <a:headEnd len="sm" w="sm" type="none"/>
            <a:tailEnd len="sm" w="sm" type="none"/>
          </a:ln>
        </xdr:spPr>
        <xdr:txBody>
          <a:bodyPr anchorCtr="0" anchor="ctr" bIns="91425" lIns="91425" spcFirstLastPara="1" rIns="91425" wrap="square" tIns="91425">
            <a:noAutofit/>
          </a:bodyPr>
          <a:lstStyle/>
          <a:p>
            <a:pPr indent="0" lvl="0" marL="0" rtl="1" algn="ctr">
              <a:spcBef>
                <a:spcPts val="0"/>
              </a:spcBef>
              <a:spcAft>
                <a:spcPts val="0"/>
              </a:spcAft>
              <a:buNone/>
            </a:pPr>
            <a:r>
              <a:rPr lang="en-US" sz="1400"/>
              <a:t>       ריענון מטרות על</a:t>
            </a:r>
            <a:endParaRPr sz="1400"/>
          </a:p>
        </xdr:txBody>
      </xdr:sp>
      <xdr:sp>
        <xdr:nvSpPr>
          <xdr:cNvPr id="6" name="Shape 6"/>
          <xdr:cNvSpPr/>
        </xdr:nvSpPr>
        <xdr:spPr>
          <a:xfrm>
            <a:off x="4659300" y="1360225"/>
            <a:ext cx="172500" cy="132000"/>
          </a:xfrm>
          <a:prstGeom prst="curvedDownArrow">
            <a:avLst>
              <a:gd fmla="val 25000" name="adj1"/>
              <a:gd fmla="val 50000" name="adj2"/>
              <a:gd fmla="val 25000" name="adj3"/>
            </a:avLst>
          </a:prstGeom>
          <a:solidFill>
            <a:srgbClr val="CFE2F3"/>
          </a:solidFill>
          <a:ln cap="flat" cmpd="sng" w="9525">
            <a:solidFill>
              <a:srgbClr val="00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xdr:col>
      <xdr:colOff>647700</xdr:colOff>
      <xdr:row>4</xdr:row>
      <xdr:rowOff>47625</xdr:rowOff>
    </xdr:from>
    <xdr:ext cx="2562225" cy="400050"/>
    <xdr:sp>
      <xdr:nvSpPr>
        <xdr:cNvPr id="7" name="Shape 7"/>
        <xdr:cNvSpPr txBox="1"/>
      </xdr:nvSpPr>
      <xdr:spPr>
        <a:xfrm>
          <a:off x="4112925" y="1411000"/>
          <a:ext cx="2541900" cy="520500"/>
        </a:xfrm>
        <a:prstGeom prst="rect">
          <a:avLst/>
        </a:prstGeom>
        <a:noFill/>
        <a:ln cap="flat" cmpd="sng" w="38100">
          <a:solidFill>
            <a:srgbClr val="0000FF"/>
          </a:solidFill>
          <a:prstDash val="solid"/>
          <a:round/>
          <a:headEnd len="sm" w="sm" type="none"/>
          <a:tailEnd len="sm" w="sm" type="none"/>
        </a:ln>
      </xdr:spPr>
      <xdr:txBody>
        <a:bodyPr anchorCtr="0" anchor="b" bIns="91425" lIns="91425" spcFirstLastPara="1" rIns="91425" wrap="square" tIns="91425">
          <a:noAutofit/>
        </a:bodyPr>
        <a:lstStyle/>
        <a:p>
          <a:pPr indent="-419100" lvl="0" marL="457200" rtl="1" algn="ctr">
            <a:spcBef>
              <a:spcPts val="0"/>
            </a:spcBef>
            <a:spcAft>
              <a:spcPts val="0"/>
            </a:spcAft>
            <a:buClr>
              <a:srgbClr val="0000FF"/>
            </a:buClr>
            <a:buSzPts val="3000"/>
            <a:buFont typeface="Frank Ruhl Libre"/>
            <a:buChar char="+"/>
          </a:pPr>
          <a:r>
            <a:rPr b="1" i="1" lang="en-US" sz="1400">
              <a:solidFill>
                <a:srgbClr val="0000FF"/>
              </a:solidFill>
              <a:latin typeface="Frank Ruhl Libre"/>
              <a:ea typeface="Frank Ruhl Libre"/>
              <a:cs typeface="Frank Ruhl Libre"/>
              <a:sym typeface="Frank Ruhl Libre"/>
            </a:rPr>
            <a:t>יצירת קובץ "מטרות על"</a:t>
          </a:r>
          <a:endParaRPr b="1" i="1" sz="1400">
            <a:solidFill>
              <a:srgbClr val="0000FF"/>
            </a:solidFill>
            <a:latin typeface="Frank Ruhl Libre"/>
            <a:ea typeface="Frank Ruhl Libre"/>
            <a:cs typeface="Frank Ruhl Libre"/>
            <a:sym typeface="Frank Ruhl Libre"/>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3:C44" displayName="Table_1" name="Table_1" id="3">
  <tableColumns count="3">
    <tableColumn name="Column1" id="1"/>
    <tableColumn name="Column2" id="2"/>
    <tableColumn name="Column3" id="3"/>
  </tableColumns>
  <tableStyleInfo name="אינדקס-style" showColumnStripes="0" showFirstColumn="1" showLastColumn="1" showRowStripes="1"/>
</table>
</file>

<file path=xl/tables/table2.xml><?xml version="1.0" encoding="utf-8"?>
<table xmlns="http://schemas.openxmlformats.org/spreadsheetml/2006/main" ref="F9:L100" displayName="טבלת_שדות" name="טבלת_שדות" id="1">
  <tableColumns count="7">
    <tableColumn name="#" id="1"/>
    <tableColumn name="קבוצת שדות" id="2"/>
    <tableColumn name="שם שדה " id="3"/>
    <tableColumn name="סוג שדה" id="4"/>
    <tableColumn name="חובה/רשות" id="5"/>
    <tableColumn name="ערכים אפשריים" id="6"/>
    <tableColumn name="הערות" id="7"/>
  </tableColumns>
  <tableStyleInfo name="תבנית-style" showColumnStripes="0" showFirstColumn="1" showLastColumn="1" showRowStripes="1"/>
</table>
</file>

<file path=xl/tables/table3.xml><?xml version="1.0" encoding="utf-8"?>
<table xmlns="http://schemas.openxmlformats.org/spreadsheetml/2006/main" ref="R9:X100" displayName="תהליכי_עבודה_טריגרים" name="תהליכי_עבודה_טריגרים" id="5">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תבנית-style 2" showColumnStripes="0" showFirstColumn="1" showLastColumn="1" showRowStripes="1"/>
</table>
</file>

<file path=xl/tables/table4.xml><?xml version="1.0" encoding="utf-8"?>
<table xmlns="http://schemas.openxmlformats.org/spreadsheetml/2006/main" ref="AA9:AD100" displayName="פעלות_בתוך_תהליכים_" name="פעלות_בתוך_תהליכים_" id="8">
  <tableColumns count="4">
    <tableColumn name="שם תהליך " id="1"/>
    <tableColumn name="סוג פעולה " id="2"/>
    <tableColumn name="תיואר פעולה קצר " id="3"/>
    <tableColumn name="תיאור מפורט " id="4"/>
  </tableColumns>
  <tableStyleInfo name="תבנית-style 3" showColumnStripes="0" showFirstColumn="1" showLastColumn="1" showRowStripes="1"/>
</table>
</file>

<file path=xl/tables/table5.xml><?xml version="1.0" encoding="utf-8"?>
<table xmlns="http://schemas.openxmlformats.org/spreadsheetml/2006/main" ref="B10:C30" displayName="Table1" name="Table1" id="10">
  <tableColumns count="2">
    <tableColumn name="שם קבוצה " id="1"/>
    <tableColumn name="חוזת או לא " id="2"/>
  </tableColumns>
  <tableStyleInfo name="תבנית-style 4" showColumnStripes="0" showFirstColumn="1" showLastColumn="1" showRowStripes="1"/>
</table>
</file>

<file path=xl/tables/table6.xml><?xml version="1.0" encoding="utf-8"?>
<table xmlns="http://schemas.openxmlformats.org/spreadsheetml/2006/main" ref="F9:P100" displayName="טבלת_שדות_4" name="טבלת_שדות_4" id="2">
  <tableColumns count="11">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 name="הרשאות צפייה 2" id="10"/>
    <tableColumn name="הרשאות עריכה 2" id="11"/>
  </tableColumns>
  <tableStyleInfo name="אנשי קשר-style" showColumnStripes="0" showFirstColumn="1" showLastColumn="1" showRowStripes="1"/>
</table>
</file>

<file path=xl/tables/table7.xml><?xml version="1.0" encoding="utf-8"?>
<table xmlns="http://schemas.openxmlformats.org/spreadsheetml/2006/main" ref="V9:AB100" displayName="תהליכי_עבודה_טריגרים_4" name="תהליכי_עבודה_טריגרים_4" id="6">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אנשי קשר-style 2" showColumnStripes="0" showFirstColumn="1" showLastColumn="1" showRowStripes="1"/>
</table>
</file>

<file path=xl/tables/table8.xml><?xml version="1.0" encoding="utf-8"?>
<table xmlns="http://schemas.openxmlformats.org/spreadsheetml/2006/main" ref="AE9:AH100" displayName="פעלות_בתוך_תהליכים__4" name="פעלות_בתוך_תהליכים__4" id="7">
  <tableColumns count="4">
    <tableColumn name="שם תהליך " id="1"/>
    <tableColumn name="סוג פעולה " id="2"/>
    <tableColumn name="תיואר פעולה קצר " id="3"/>
    <tableColumn name="תיאור מפורט " id="4"/>
  </tableColumns>
  <tableStyleInfo name="אנשי קשר-style 3" showColumnStripes="0" showFirstColumn="1" showLastColumn="1" showRowStripes="1"/>
</table>
</file>

<file path=xl/tables/table9.xml><?xml version="1.0" encoding="utf-8"?>
<table xmlns="http://schemas.openxmlformats.org/spreadsheetml/2006/main" ref="B10:C30" displayName="Table1_4" name="Table1_4" id="9">
  <tableColumns count="2">
    <tableColumn name="שם קבוצה " id="1"/>
    <tableColumn name="חוזת או לא " id="2"/>
  </tableColumns>
  <tableStyleInfo name="אנשי קשר-style 4" showColumnStripes="0" showFirstColumn="1" showLastColumn="1" showRowStripes="1"/>
</table>
</file>

<file path=xl/tables/table10.xml><?xml version="1.0" encoding="utf-8"?>
<table xmlns="http://schemas.openxmlformats.org/spreadsheetml/2006/main" ref="F9:P100" displayName="טבלת_שדות_3" name="טבלת_שדות_3" id="4">
  <tableColumns count="11">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 name="הרשאות צפייה 2" id="10"/>
    <tableColumn name="הרשאות עריכה 2" id="11"/>
  </tableColumns>
  <tableStyleInfo name="בק אנד (סוגי ישיות)-style" showColumnStripes="0" showFirstColumn="1" showLastColumn="1" showRowStripes="1"/>
</table>
</file>

<file path=xl/tables/table11.xml><?xml version="1.0" encoding="utf-8"?>
<table xmlns="http://schemas.openxmlformats.org/spreadsheetml/2006/main" ref="V9:AB100" displayName="תהליכי_עבודה_טריגרים_3" name="תהליכי_עבודה_טריגרים_3" id="11">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בק אנד (סוגי ישיות)-style 2" showColumnStripes="0" showFirstColumn="1" showLastColumn="1" showRowStripes="1"/>
</table>
</file>

<file path=xl/tables/table12.xml><?xml version="1.0" encoding="utf-8"?>
<table xmlns="http://schemas.openxmlformats.org/spreadsheetml/2006/main" ref="AE9:AH100" displayName="פעלות_בתוך_תהליכים__3" name="פעלות_בתוך_תהליכים__3" id="12">
  <tableColumns count="4">
    <tableColumn name="שם תהליך " id="1"/>
    <tableColumn name="סוג פעולה " id="2"/>
    <tableColumn name="תיואר פעולה קצר " id="3"/>
    <tableColumn name="תיאור מפורט " id="4"/>
  </tableColumns>
  <tableStyleInfo name="בק אנד (סוגי ישיות)-style 3" showColumnStripes="0" showFirstColumn="1" showLastColumn="1" showRowStripes="1"/>
</table>
</file>

<file path=xl/tables/table13.xml><?xml version="1.0" encoding="utf-8"?>
<table xmlns="http://schemas.openxmlformats.org/spreadsheetml/2006/main" ref="B10:C30" displayName="Table1_3" name="Table1_3" id="13">
  <tableColumns count="2">
    <tableColumn name="שם קבוצה " id="1"/>
    <tableColumn name="חוזת או לא " id="2"/>
  </tableColumns>
  <tableStyleInfo name="בק אנד (סוגי ישיות)-style 4" showColumnStripes="0" showFirstColumn="1" showLastColumn="1" showRowStripes="1"/>
</table>
</file>

<file path=xl/tables/table14.xml><?xml version="1.0" encoding="utf-8"?>
<table xmlns="http://schemas.openxmlformats.org/spreadsheetml/2006/main" ref="F9:N100" displayName="טבלת_שדות_2" name="טבלת_שדות_2" id="14">
  <autoFilter ref="$F$9:$N$100"/>
  <tableColumns count="9">
    <tableColumn name="#" id="1"/>
    <tableColumn name="טי"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לקוחות-style" showColumnStripes="0" showFirstColumn="1" showLastColumn="1" showRowStripes="1"/>
</table>
</file>

<file path=xl/tables/table15.xml><?xml version="1.0" encoding="utf-8"?>
<table xmlns="http://schemas.openxmlformats.org/spreadsheetml/2006/main" ref="V9:AB100" displayName="תהליכי_עבודה_טריגרים_2" name="תהליכי_עבודה_טריגרים_2" id="15">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לקוחות-style 2" showColumnStripes="0" showFirstColumn="1" showLastColumn="1" showRowStripes="1"/>
</table>
</file>

<file path=xl/tables/table16.xml><?xml version="1.0" encoding="utf-8"?>
<table xmlns="http://schemas.openxmlformats.org/spreadsheetml/2006/main" ref="AE9:AH100" displayName="פעלות_בתוך_תהליכים__2" name="פעלות_בתוך_תהליכים__2" id="16">
  <tableColumns count="4">
    <tableColumn name="שם תהליך " id="1"/>
    <tableColumn name="סוג פעולה " id="2"/>
    <tableColumn name="תיואר פעולה קצר " id="3"/>
    <tableColumn name="תיאור מפורט " id="4"/>
  </tableColumns>
  <tableStyleInfo name="לקוחות-style 3" showColumnStripes="0" showFirstColumn="1" showLastColumn="1" showRowStripes="1"/>
</table>
</file>

<file path=xl/tables/table17.xml><?xml version="1.0" encoding="utf-8"?>
<table xmlns="http://schemas.openxmlformats.org/spreadsheetml/2006/main" ref="B10:C30" displayName="Table1_2" name="Table1_2" id="17">
  <tableColumns count="2">
    <tableColumn name="שם קבוצה " id="1"/>
    <tableColumn name="חוזת או לא " id="2"/>
  </tableColumns>
  <tableStyleInfo name="לקוחות-style 4" showColumnStripes="0" showFirstColumn="1" showLastColumn="1" showRowStripes="1"/>
</table>
</file>

<file path=xl/tables/table18.xml><?xml version="1.0" encoding="utf-8"?>
<table xmlns="http://schemas.openxmlformats.org/spreadsheetml/2006/main" ref="F9:N100" displayName="טבלת_שדות_5" name="טבלת_שדות_5" id="18">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קטלוג שירותים-style" showColumnStripes="0" showFirstColumn="1" showLastColumn="1" showRowStripes="1"/>
</table>
</file>

<file path=xl/tables/table19.xml><?xml version="1.0" encoding="utf-8"?>
<table xmlns="http://schemas.openxmlformats.org/spreadsheetml/2006/main" ref="T9:Z100" displayName="תהליכי_עבודה_טריגרים_5" name="תהליכי_עבודה_טריגרים_5" id="19">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קטלוג שירותים-style 2" showColumnStripes="0" showFirstColumn="1" showLastColumn="1" showRowStripes="1"/>
</table>
</file>

<file path=xl/tables/table20.xml><?xml version="1.0" encoding="utf-8"?>
<table xmlns="http://schemas.openxmlformats.org/spreadsheetml/2006/main" ref="AC9:AF100" displayName="פעלות_בתוך_תהליכים__5" name="פעלות_בתוך_תהליכים__5" id="20">
  <tableColumns count="4">
    <tableColumn name="שם תהליך " id="1"/>
    <tableColumn name="סוג פעולה " id="2"/>
    <tableColumn name="תיואר פעולה קצר " id="3"/>
    <tableColumn name="תיאור מפורט " id="4"/>
  </tableColumns>
  <tableStyleInfo name="קטלוג שירותים-style 3" showColumnStripes="0" showFirstColumn="1" showLastColumn="1" showRowStripes="1"/>
</table>
</file>

<file path=xl/tables/table21.xml><?xml version="1.0" encoding="utf-8"?>
<table xmlns="http://schemas.openxmlformats.org/spreadsheetml/2006/main" ref="B10:C30" displayName="Table1_5" name="Table1_5" id="21">
  <tableColumns count="2">
    <tableColumn name="שם קבוצה " id="1"/>
    <tableColumn name="חוזת או לא " id="2"/>
  </tableColumns>
  <tableStyleInfo name="קטלוג שירותים-style 4" showColumnStripes="0" showFirstColumn="1" showLastColumn="1" showRowStripes="1"/>
</table>
</file>

<file path=xl/tables/table22.xml><?xml version="1.0" encoding="utf-8"?>
<table xmlns="http://schemas.openxmlformats.org/spreadsheetml/2006/main" ref="F9:N100" displayName="טבלת_שדות_7" name="טבלת_שדות_7" id="22">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עסקאות-style" showColumnStripes="0" showFirstColumn="1" showLastColumn="1" showRowStripes="1"/>
</table>
</file>

<file path=xl/tables/table23.xml><?xml version="1.0" encoding="utf-8"?>
<table xmlns="http://schemas.openxmlformats.org/spreadsheetml/2006/main" ref="T9:Z100" displayName="תהליכי_עבודה_טריגרים_7" name="תהליכי_עבודה_טריגרים_7" id="23">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עסקאות-style 2" showColumnStripes="0" showFirstColumn="1" showLastColumn="1" showRowStripes="1"/>
</table>
</file>

<file path=xl/tables/table24.xml><?xml version="1.0" encoding="utf-8"?>
<table xmlns="http://schemas.openxmlformats.org/spreadsheetml/2006/main" ref="AC9:AF100" displayName="פעלות_בתוך_תהליכים__7" name="פעלות_בתוך_תהליכים__7" id="24">
  <tableColumns count="4">
    <tableColumn name="שם תהליך " id="1"/>
    <tableColumn name="סוג פעולה " id="2"/>
    <tableColumn name="תיואר פעולה קצר " id="3"/>
    <tableColumn name="תיאור מפורט " id="4"/>
  </tableColumns>
  <tableStyleInfo name="עסקאות-style 3" showColumnStripes="0" showFirstColumn="1" showLastColumn="1" showRowStripes="1"/>
</table>
</file>

<file path=xl/tables/table25.xml><?xml version="1.0" encoding="utf-8"?>
<table xmlns="http://schemas.openxmlformats.org/spreadsheetml/2006/main" ref="B10:C30" displayName="Table1_7" name="Table1_7" id="25">
  <tableColumns count="2">
    <tableColumn name="שם קבוצה " id="1"/>
    <tableColumn name="חוזת או לא " id="2"/>
  </tableColumns>
  <tableStyleInfo name="עסקאות-style 4" showColumnStripes="0" showFirstColumn="1" showLastColumn="1" showRowStripes="1"/>
</table>
</file>

<file path=xl/tables/table26.xml><?xml version="1.0" encoding="utf-8"?>
<table xmlns="http://schemas.openxmlformats.org/spreadsheetml/2006/main" ref="F9:N100" displayName="טבלת_שדות_8" name="טבלת_שדות_8" id="26">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תקשורת-style" showColumnStripes="0" showFirstColumn="1" showLastColumn="1" showRowStripes="1"/>
</table>
</file>

<file path=xl/tables/table27.xml><?xml version="1.0" encoding="utf-8"?>
<table xmlns="http://schemas.openxmlformats.org/spreadsheetml/2006/main" ref="T9:Z100" displayName="תהליכי_עבודה_טריגרים_8" name="תהליכי_עבודה_טריגרים_8" id="27">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תקשורת-style 2" showColumnStripes="0" showFirstColumn="1" showLastColumn="1" showRowStripes="1"/>
</table>
</file>

<file path=xl/tables/table28.xml><?xml version="1.0" encoding="utf-8"?>
<table xmlns="http://schemas.openxmlformats.org/spreadsheetml/2006/main" ref="AC9:AF100" displayName="פעלות_בתוך_תהליכים__8" name="פעלות_בתוך_תהליכים__8" id="28">
  <tableColumns count="4">
    <tableColumn name="שם תהליך " id="1"/>
    <tableColumn name="סוג פעולה " id="2"/>
    <tableColumn name="תיואר פעולה קצר " id="3"/>
    <tableColumn name="תיאור מפורט " id="4"/>
  </tableColumns>
  <tableStyleInfo name="תקשורת-style 3" showColumnStripes="0" showFirstColumn="1" showLastColumn="1" showRowStripes="1"/>
</table>
</file>

<file path=xl/tables/table29.xml><?xml version="1.0" encoding="utf-8"?>
<table xmlns="http://schemas.openxmlformats.org/spreadsheetml/2006/main" ref="B10:C30" displayName="Table1_8" name="Table1_8" id="29">
  <tableColumns count="2">
    <tableColumn name="שם קבוצה " id="1"/>
    <tableColumn name="חוזת או לא " id="2"/>
  </tableColumns>
  <tableStyleInfo name="תקשורת-style 4" showColumnStripes="0" showFirstColumn="1" showLastColumn="1" showRowStripes="1"/>
</table>
</file>

<file path=xl/tables/table30.xml><?xml version="1.0" encoding="utf-8"?>
<table xmlns="http://schemas.openxmlformats.org/spreadsheetml/2006/main" ref="F9:N100" displayName="טבלת_שדות_9" name="טבלת_שדות_9" id="30">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משימות-style" showColumnStripes="0" showFirstColumn="1" showLastColumn="1" showRowStripes="1"/>
</table>
</file>

<file path=xl/tables/table31.xml><?xml version="1.0" encoding="utf-8"?>
<table xmlns="http://schemas.openxmlformats.org/spreadsheetml/2006/main" ref="T9:Z100" displayName="תהליכי_עבודה_טריגרים_9" name="תהליכי_עבודה_טריגרים_9" id="31">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משימות-style 2" showColumnStripes="0" showFirstColumn="1" showLastColumn="1" showRowStripes="1"/>
</table>
</file>

<file path=xl/tables/table32.xml><?xml version="1.0" encoding="utf-8"?>
<table xmlns="http://schemas.openxmlformats.org/spreadsheetml/2006/main" ref="AC9:AF100" displayName="פעלות_בתוך_תהליכים__9" name="פעלות_בתוך_תהליכים__9" id="32">
  <tableColumns count="4">
    <tableColumn name="שם תהליך " id="1"/>
    <tableColumn name="סוג פעולה " id="2"/>
    <tableColumn name="תיואר פעולה קצר " id="3"/>
    <tableColumn name="תיאור מפורט " id="4"/>
  </tableColumns>
  <tableStyleInfo name="משימות-style 3" showColumnStripes="0" showFirstColumn="1" showLastColumn="1" showRowStripes="1"/>
</table>
</file>

<file path=xl/tables/table33.xml><?xml version="1.0" encoding="utf-8"?>
<table xmlns="http://schemas.openxmlformats.org/spreadsheetml/2006/main" ref="B10:C30" displayName="Table1_9" name="Table1_9" id="33">
  <tableColumns count="2">
    <tableColumn name="שם קבוצה " id="1"/>
    <tableColumn name="חוזת או לא " id="2"/>
  </tableColumns>
  <tableStyleInfo name="משימות-style 4" showColumnStripes="0" showFirstColumn="1" showLastColumn="1" showRowStripes="1"/>
</table>
</file>

<file path=xl/tables/table34.xml><?xml version="1.0" encoding="utf-8"?>
<table xmlns="http://schemas.openxmlformats.org/spreadsheetml/2006/main" ref="F9:N100" displayName="טבלת_שדות_10" name="טבלת_שדות_10" id="34">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עובד משרד-style" showColumnStripes="0" showFirstColumn="1" showLastColumn="1" showRowStripes="1"/>
</table>
</file>

<file path=xl/tables/table35.xml><?xml version="1.0" encoding="utf-8"?>
<table xmlns="http://schemas.openxmlformats.org/spreadsheetml/2006/main" ref="T9:Z100" displayName="תהליכי_עבודה_טריגרים_10" name="תהליכי_עבודה_טריגרים_10" id="35">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עובד משרד-style 2" showColumnStripes="0" showFirstColumn="1" showLastColumn="1" showRowStripes="1"/>
</table>
</file>

<file path=xl/tables/table36.xml><?xml version="1.0" encoding="utf-8"?>
<table xmlns="http://schemas.openxmlformats.org/spreadsheetml/2006/main" ref="AC9:AF100" displayName="פעלות_בתוך_תהליכים__10" name="פעלות_בתוך_תהליכים__10" id="36">
  <tableColumns count="4">
    <tableColumn name="שם תהליך " id="1"/>
    <tableColumn name="סוג פעולה " id="2"/>
    <tableColumn name="תיואר פעולה קצר " id="3"/>
    <tableColumn name="תיאור מפורט " id="4"/>
  </tableColumns>
  <tableStyleInfo name="עובד משרד-style 3" showColumnStripes="0" showFirstColumn="1" showLastColumn="1" showRowStripes="1"/>
</table>
</file>

<file path=xl/tables/table37.xml><?xml version="1.0" encoding="utf-8"?>
<table xmlns="http://schemas.openxmlformats.org/spreadsheetml/2006/main" ref="B10:C30" displayName="Table1_10" name="Table1_10" id="37">
  <tableColumns count="2">
    <tableColumn name="שם קבוצה " id="1"/>
    <tableColumn name="חוזת או לא " id="2"/>
  </tableColumns>
  <tableStyleInfo name="עובד משרד-style 4" showColumnStripes="0" showFirstColumn="1" showLastColumn="1" showRowStripes="1"/>
</table>
</file>

<file path=xl/tables/table38.xml><?xml version="1.0" encoding="utf-8"?>
<table xmlns="http://schemas.openxmlformats.org/spreadsheetml/2006/main" ref="F9:N100" displayName="טבלת_שדות_11" name="טבלת_שדות_11" id="38">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תבניות חובת דיווח-style" showColumnStripes="0" showFirstColumn="1" showLastColumn="1" showRowStripes="1"/>
</table>
</file>

<file path=xl/tables/table39.xml><?xml version="1.0" encoding="utf-8"?>
<table xmlns="http://schemas.openxmlformats.org/spreadsheetml/2006/main" ref="T9:Z100" displayName="תהליכי_עבודה_טריגרים_11" name="תהליכי_עבודה_טריגרים_11" id="39">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תבניות חובת דיווח-style 2" showColumnStripes="0" showFirstColumn="1" showLastColumn="1" showRowStripes="1"/>
</table>
</file>

<file path=xl/tables/table40.xml><?xml version="1.0" encoding="utf-8"?>
<table xmlns="http://schemas.openxmlformats.org/spreadsheetml/2006/main" ref="AC9:AF100" displayName="פעלות_בתוך_תהליכים__11" name="פעלות_בתוך_תהליכים__11" id="40">
  <tableColumns count="4">
    <tableColumn name="שם תהליך " id="1"/>
    <tableColumn name="סוג פעולה " id="2"/>
    <tableColumn name="תיואר פעולה קצר " id="3"/>
    <tableColumn name="תיאור מפורט " id="4"/>
  </tableColumns>
  <tableStyleInfo name="תבניות חובת דיווח-style 3" showColumnStripes="0" showFirstColumn="1" showLastColumn="1" showRowStripes="1"/>
</table>
</file>

<file path=xl/tables/table41.xml><?xml version="1.0" encoding="utf-8"?>
<table xmlns="http://schemas.openxmlformats.org/spreadsheetml/2006/main" ref="B10:C30" displayName="Table1_11" name="Table1_11" id="41">
  <tableColumns count="2">
    <tableColumn name="שם קבוצה " id="1"/>
    <tableColumn name="חוזת או לא " id="2"/>
  </tableColumns>
  <tableStyleInfo name="תבניות חובת דיווח-style 4" showColumnStripes="0" showFirstColumn="1" showLastColumn="1" showRowStripes="1"/>
</table>
</file>

<file path=xl/tables/table42.xml><?xml version="1.0" encoding="utf-8"?>
<table xmlns="http://schemas.openxmlformats.org/spreadsheetml/2006/main" ref="F9:N100" displayName="טבלת_שדות_12" name="טבלת_שדות_12" id="42">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הגשות-style" showColumnStripes="0" showFirstColumn="1" showLastColumn="1" showRowStripes="1"/>
</table>
</file>

<file path=xl/tables/table43.xml><?xml version="1.0" encoding="utf-8"?>
<table xmlns="http://schemas.openxmlformats.org/spreadsheetml/2006/main" ref="T9:Z100" displayName="תהליכי_עבודה_טריגרים_12" name="תהליכי_עבודה_טריגרים_12" id="43">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הגשות-style 2" showColumnStripes="0" showFirstColumn="1" showLastColumn="1" showRowStripes="1"/>
</table>
</file>

<file path=xl/tables/table44.xml><?xml version="1.0" encoding="utf-8"?>
<table xmlns="http://schemas.openxmlformats.org/spreadsheetml/2006/main" ref="AC9:AF100" displayName="פעלות_בתוך_תהליכים__12" name="פעלות_בתוך_תהליכים__12" id="44">
  <tableColumns count="4">
    <tableColumn name="שם תהליך " id="1"/>
    <tableColumn name="סוג פעולה " id="2"/>
    <tableColumn name="תיואר פעולה קצר " id="3"/>
    <tableColumn name="תיאור מפורט " id="4"/>
  </tableColumns>
  <tableStyleInfo name="הגשות-style 3" showColumnStripes="0" showFirstColumn="1" showLastColumn="1" showRowStripes="1"/>
</table>
</file>

<file path=xl/tables/table45.xml><?xml version="1.0" encoding="utf-8"?>
<table xmlns="http://schemas.openxmlformats.org/spreadsheetml/2006/main" ref="B10:C30" displayName="Table1_12" name="Table1_12" id="45">
  <tableColumns count="2">
    <tableColumn name="שם קבוצה " id="1"/>
    <tableColumn name="חוזת או לא " id="2"/>
  </tableColumns>
  <tableStyleInfo name="הגשות-style 4" showColumnStripes="0" showFirstColumn="1" showLastColumn="1" showRowStripes="1"/>
</table>
</file>

<file path=xl/tables/table46.xml><?xml version="1.0" encoding="utf-8"?>
<table xmlns="http://schemas.openxmlformats.org/spreadsheetml/2006/main" ref="F9:N100" displayName="טבלת_שדות_13" name="טבלת_שדות_13" id="46">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דרישת חומר תקופתי-style" showColumnStripes="0" showFirstColumn="1" showLastColumn="1" showRowStripes="1"/>
</table>
</file>

<file path=xl/tables/table47.xml><?xml version="1.0" encoding="utf-8"?>
<table xmlns="http://schemas.openxmlformats.org/spreadsheetml/2006/main" ref="T9:Z100" displayName="תהליכי_עבודה_טריגרים_13" name="תהליכי_עבודה_טריגרים_13" id="48">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דרישת חומר תקופתי-style 2" showColumnStripes="0" showFirstColumn="1" showLastColumn="1" showRowStripes="1"/>
</table>
</file>

<file path=xl/tables/table48.xml><?xml version="1.0" encoding="utf-8"?>
<table xmlns="http://schemas.openxmlformats.org/spreadsheetml/2006/main" ref="AC9:AF100" displayName="פעלות_בתוך_תהליכים__13" name="פעלות_בתוך_תהליכים__13" id="50">
  <tableColumns count="4">
    <tableColumn name="שם תהליך " id="1"/>
    <tableColumn name="סוג פעולה " id="2"/>
    <tableColumn name="תיואר פעולה קצר " id="3"/>
    <tableColumn name="תיאור מפורט " id="4"/>
  </tableColumns>
  <tableStyleInfo name="דרישת חומר תקופתי-style 3" showColumnStripes="0" showFirstColumn="1" showLastColumn="1" showRowStripes="1"/>
</table>
</file>

<file path=xl/tables/table49.xml><?xml version="1.0" encoding="utf-8"?>
<table xmlns="http://schemas.openxmlformats.org/spreadsheetml/2006/main" ref="B10:C30" displayName="Table1_13" name="Table1_13" id="52">
  <tableColumns count="2">
    <tableColumn name="שם קבוצה " id="1"/>
    <tableColumn name="חוזת או לא " id="2"/>
  </tableColumns>
  <tableStyleInfo name="דרישת חומר תקופתי-style 4" showColumnStripes="0" showFirstColumn="1" showLastColumn="1" showRowStripes="1"/>
</table>
</file>

<file path=xl/tables/table50.xml><?xml version="1.0" encoding="utf-8"?>
<table xmlns="http://schemas.openxmlformats.org/spreadsheetml/2006/main" ref="F9:N100" displayName="טבלת_שדות_6" name="טבלת_שדות_6" id="47">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מסמכים-style" showColumnStripes="0" showFirstColumn="1" showLastColumn="1" showRowStripes="1"/>
</table>
</file>

<file path=xl/tables/table51.xml><?xml version="1.0" encoding="utf-8"?>
<table xmlns="http://schemas.openxmlformats.org/spreadsheetml/2006/main" ref="T9:Z100" displayName="תהליכי_עבודה_טריגרים_6" name="תהליכי_עבודה_טריגרים_6" id="49">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מסמכים-style 2" showColumnStripes="0" showFirstColumn="1" showLastColumn="1" showRowStripes="1"/>
</table>
</file>

<file path=xl/tables/table52.xml><?xml version="1.0" encoding="utf-8"?>
<table xmlns="http://schemas.openxmlformats.org/spreadsheetml/2006/main" ref="AC9:AF100" displayName="פעלות_בתוך_תהליכים__6" name="פעלות_בתוך_תהליכים__6" id="51">
  <tableColumns count="4">
    <tableColumn name="שם תהליך " id="1"/>
    <tableColumn name="סוג פעולה " id="2"/>
    <tableColumn name="תיואר פעולה קצר " id="3"/>
    <tableColumn name="תיאור מפורט " id="4"/>
  </tableColumns>
  <tableStyleInfo name="מסמכים-style 3" showColumnStripes="0" showFirstColumn="1" showLastColumn="1" showRowStripes="1"/>
</table>
</file>

<file path=xl/tables/table53.xml><?xml version="1.0" encoding="utf-8"?>
<table xmlns="http://schemas.openxmlformats.org/spreadsheetml/2006/main" ref="B10:C30" displayName="Table1_6" name="Table1_6" id="53">
  <tableColumns count="2">
    <tableColumn name="שם קבוצה " id="1"/>
    <tableColumn name="חוזת או לא " id="2"/>
  </tableColumns>
  <tableStyleInfo name="מסמכים-style 4" showColumnStripes="0" showFirstColumn="1" showLastColumn="1" showRowStripes="1"/>
</table>
</file>

<file path=xl/tables/table54.xml><?xml version="1.0" encoding="utf-8"?>
<table xmlns="http://schemas.openxmlformats.org/spreadsheetml/2006/main" ref="F9:N100" displayName="טבלת_שדות_14" name="טבלת_שדות_14" id="54">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אישורים והוראות לקוח-style" showColumnStripes="0" showFirstColumn="1" showLastColumn="1" showRowStripes="1"/>
</table>
</file>

<file path=xl/tables/table55.xml><?xml version="1.0" encoding="utf-8"?>
<table xmlns="http://schemas.openxmlformats.org/spreadsheetml/2006/main" ref="T9:Z100" displayName="תהליכי_עבודה_טריגרים_14" name="תהליכי_עבודה_טריגרים_14" id="55">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אישורים והוראות לקוח-style 2" showColumnStripes="0" showFirstColumn="1" showLastColumn="1" showRowStripes="1"/>
</table>
</file>

<file path=xl/tables/table56.xml><?xml version="1.0" encoding="utf-8"?>
<table xmlns="http://schemas.openxmlformats.org/spreadsheetml/2006/main" ref="AC9:AF100" displayName="פעלות_בתוך_תהליכים__14" name="פעלות_בתוך_תהליכים__14" id="56">
  <tableColumns count="4">
    <tableColumn name="שם תהליך " id="1"/>
    <tableColumn name="סוג פעולה " id="2"/>
    <tableColumn name="תיואר פעולה קצר " id="3"/>
    <tableColumn name="תיאור מפורט " id="4"/>
  </tableColumns>
  <tableStyleInfo name="אישורים והוראות לקוח-style 3" showColumnStripes="0" showFirstColumn="1" showLastColumn="1" showRowStripes="1"/>
</table>
</file>

<file path=xl/tables/table57.xml><?xml version="1.0" encoding="utf-8"?>
<table xmlns="http://schemas.openxmlformats.org/spreadsheetml/2006/main" ref="B10:C30" displayName="Table1_14" name="Table1_14" id="57">
  <tableColumns count="2">
    <tableColumn name="שם קבוצה " id="1"/>
    <tableColumn name="חוזת או לא " id="2"/>
  </tableColumns>
  <tableStyleInfo name="אישורים והוראות לקוח-style 4" showColumnStripes="0" showFirstColumn="1" showLastColumn="1" showRowStripes="1"/>
</table>
</file>

<file path=xl/tables/table58.xml><?xml version="1.0" encoding="utf-8"?>
<table xmlns="http://schemas.openxmlformats.org/spreadsheetml/2006/main" ref="F9:N100" displayName="טבלת_שדות_15" name="טבלת_שדות_15" id="58">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חובות מס לתשלום-style" showColumnStripes="0" showFirstColumn="1" showLastColumn="1" showRowStripes="1"/>
</table>
</file>

<file path=xl/tables/table59.xml><?xml version="1.0" encoding="utf-8"?>
<table xmlns="http://schemas.openxmlformats.org/spreadsheetml/2006/main" ref="T9:Z100" displayName="תהליכי_עבודה_טריגרים_15" name="תהליכי_עבודה_טריגרים_15" id="59">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חובות מס לתשלום-style 2" showColumnStripes="0" showFirstColumn="1" showLastColumn="1" showRowStripes="1"/>
</table>
</file>

<file path=xl/tables/table60.xml><?xml version="1.0" encoding="utf-8"?>
<table xmlns="http://schemas.openxmlformats.org/spreadsheetml/2006/main" ref="AC9:AF100" displayName="פעלות_בתוך_תהליכים__15" name="פעלות_בתוך_תהליכים__15" id="60">
  <tableColumns count="4">
    <tableColumn name="שם תהליך " id="1"/>
    <tableColumn name="סוג פעולה " id="2"/>
    <tableColumn name="תיואר פעולה קצר " id="3"/>
    <tableColumn name="תיאור מפורט " id="4"/>
  </tableColumns>
  <tableStyleInfo name="חובות מס לתשלום-style 3" showColumnStripes="0" showFirstColumn="1" showLastColumn="1" showRowStripes="1"/>
</table>
</file>

<file path=xl/tables/table61.xml><?xml version="1.0" encoding="utf-8"?>
<table xmlns="http://schemas.openxmlformats.org/spreadsheetml/2006/main" ref="B10:C30" displayName="Table1_15" name="Table1_15" id="61">
  <tableColumns count="2">
    <tableColumn name="שם קבוצה " id="1"/>
    <tableColumn name="חוזת או לא " id="2"/>
  </tableColumns>
  <tableStyleInfo name="חובות מס לתשלום-style 4" showColumnStripes="0" showFirstColumn="1" showLastColumn="1" showRowStripes="1"/>
</table>
</file>

<file path=xl/tables/table62.xml><?xml version="1.0" encoding="utf-8"?>
<table xmlns="http://schemas.openxmlformats.org/spreadsheetml/2006/main" ref="F9:N100" displayName="טבלת_שדות_16" name="טבלת_שדות_16" id="62">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תבנית חובת תשלום-style" showColumnStripes="0" showFirstColumn="1" showLastColumn="1" showRowStripes="1"/>
</table>
</file>

<file path=xl/tables/table63.xml><?xml version="1.0" encoding="utf-8"?>
<table xmlns="http://schemas.openxmlformats.org/spreadsheetml/2006/main" ref="T9:Z100" displayName="תהליכי_עבודה_טריגרים_16" name="תהליכי_עבודה_טריגרים_16" id="63">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תבנית חובת תשלום-style 2" showColumnStripes="0" showFirstColumn="1" showLastColumn="1" showRowStripes="1"/>
</table>
</file>

<file path=xl/tables/table64.xml><?xml version="1.0" encoding="utf-8"?>
<table xmlns="http://schemas.openxmlformats.org/spreadsheetml/2006/main" ref="AC9:AF100" displayName="פעלות_בתוך_תהליכים__16" name="פעלות_בתוך_תהליכים__16" id="64">
  <tableColumns count="4">
    <tableColumn name="שם תהליך " id="1"/>
    <tableColumn name="סוג פעולה " id="2"/>
    <tableColumn name="תיואר פעולה קצר " id="3"/>
    <tableColumn name="תיאור מפורט " id="4"/>
  </tableColumns>
  <tableStyleInfo name="תבנית חובת תשלום-style 3" showColumnStripes="0" showFirstColumn="1" showLastColumn="1" showRowStripes="1"/>
</table>
</file>

<file path=xl/tables/table65.xml><?xml version="1.0" encoding="utf-8"?>
<table xmlns="http://schemas.openxmlformats.org/spreadsheetml/2006/main" ref="B10:C30" displayName="Table1_16" name="Table1_16" id="65">
  <tableColumns count="2">
    <tableColumn name="שם קבוצה " id="1"/>
    <tableColumn name="חוזת או לא " id="2"/>
  </tableColumns>
  <tableStyleInfo name="תבנית חובת תשלום-style 4" showColumnStripes="0" showFirstColumn="1" showLastColumn="1" showRowStripes="1"/>
</table>
</file>

<file path=xl/tables/table66.xml><?xml version="1.0" encoding="utf-8"?>
<table xmlns="http://schemas.openxmlformats.org/spreadsheetml/2006/main" ref="F9:N100" displayName="טבלת_שדות_17" name="טבלת_שדות_17" id="66">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הרצת שכר-style" showColumnStripes="0" showFirstColumn="1" showLastColumn="1" showRowStripes="1"/>
</table>
</file>

<file path=xl/tables/table67.xml><?xml version="1.0" encoding="utf-8"?>
<table xmlns="http://schemas.openxmlformats.org/spreadsheetml/2006/main" ref="T9:Z100" displayName="תהליכי_עבודה_טריגרים_17" name="תהליכי_עבודה_טריגרים_17" id="67">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הרצת שכר-style 2" showColumnStripes="0" showFirstColumn="1" showLastColumn="1" showRowStripes="1"/>
</table>
</file>

<file path=xl/tables/table68.xml><?xml version="1.0" encoding="utf-8"?>
<table xmlns="http://schemas.openxmlformats.org/spreadsheetml/2006/main" ref="AC9:AF100" displayName="פעלות_בתוך_תהליכים__17" name="פעלות_בתוך_תהליכים__17" id="68">
  <tableColumns count="4">
    <tableColumn name="שם תהליך " id="1"/>
    <tableColumn name="סוג פעולה " id="2"/>
    <tableColumn name="תיואר פעולה קצר " id="3"/>
    <tableColumn name="תיאור מפורט " id="4"/>
  </tableColumns>
  <tableStyleInfo name="הרצת שכר-style 3" showColumnStripes="0" showFirstColumn="1" showLastColumn="1" showRowStripes="1"/>
</table>
</file>

<file path=xl/tables/table69.xml><?xml version="1.0" encoding="utf-8"?>
<table xmlns="http://schemas.openxmlformats.org/spreadsheetml/2006/main" ref="B10:C30" displayName="Table1_17" name="Table1_17" id="69">
  <tableColumns count="2">
    <tableColumn name="שם קבוצה " id="1"/>
    <tableColumn name="חוזת או לא " id="2"/>
  </tableColumns>
  <tableStyleInfo name="הרצת שכר-style 4" showColumnStripes="0" showFirstColumn="1" showLastColumn="1" showRowStripes="1"/>
</table>
</file>

<file path=xl/tables/table70.xml><?xml version="1.0" encoding="utf-8"?>
<table xmlns="http://schemas.openxmlformats.org/spreadsheetml/2006/main" ref="F9:N100" displayName="טבלת_שדות_18" name="טבלת_שדות_18" id="70">
  <tableColumns count="9">
    <tableColumn name="#" id="1"/>
    <tableColumn name="קבוצת שדות" id="2"/>
    <tableColumn name="שם שדה " id="3"/>
    <tableColumn name="סוג שדה" id="4"/>
    <tableColumn name="חובה/רשות" id="5"/>
    <tableColumn name="ערכים אפשריים" id="6"/>
    <tableColumn name="הערות" id="7"/>
    <tableColumn name="הרשאות צפייה" id="8"/>
    <tableColumn name="הרשאות עריכה" id="9"/>
  </tableColumns>
  <tableStyleInfo name="רשימת עובדי לקוחות-style" showColumnStripes="0" showFirstColumn="1" showLastColumn="1" showRowStripes="1"/>
</table>
</file>

<file path=xl/tables/table71.xml><?xml version="1.0" encoding="utf-8"?>
<table xmlns="http://schemas.openxmlformats.org/spreadsheetml/2006/main" ref="T9:Z100" displayName="תהליכי_עבודה_טריגרים_18" name="תהליכי_עבודה_טריגרים_18" id="71">
  <tableColumns count="7">
    <tableColumn name="#" id="1"/>
    <tableColumn name="שם התהליך" id="2"/>
    <tableColumn name="סוג טריגר" id="3"/>
    <tableColumn name="פרטי טריגר" id="4"/>
    <tableColumn name="תנאי הפעלה (שדה+לוגיקה)" id="5"/>
    <tableColumn name="סטטוס איפיון" id="6"/>
    <tableColumn name="הערות" id="7"/>
  </tableColumns>
  <tableStyleInfo name="רשימת עובדי לקוחות-style 2" showColumnStripes="0" showFirstColumn="1" showLastColumn="1" showRowStripes="1"/>
</table>
</file>

<file path=xl/tables/table72.xml><?xml version="1.0" encoding="utf-8"?>
<table xmlns="http://schemas.openxmlformats.org/spreadsheetml/2006/main" ref="AC9:AF100" displayName="פעלות_בתוך_תהליכים__18" name="פעלות_בתוך_תהליכים__18" id="72">
  <tableColumns count="4">
    <tableColumn name="שם תהליך " id="1"/>
    <tableColumn name="סוג פעולה " id="2"/>
    <tableColumn name="תיואר פעולה קצר " id="3"/>
    <tableColumn name="תיאור מפורט " id="4"/>
  </tableColumns>
  <tableStyleInfo name="רשימת עובדי לקוחות-style 3" showColumnStripes="0" showFirstColumn="1" showLastColumn="1" showRowStripes="1"/>
</table>
</file>

<file path=xl/tables/table73.xml><?xml version="1.0" encoding="utf-8"?>
<table xmlns="http://schemas.openxmlformats.org/spreadsheetml/2006/main" ref="B10:C30" displayName="Table1_18" name="Table1_18" id="73">
  <tableColumns count="2">
    <tableColumn name="שם קבוצה " id="1"/>
    <tableColumn name="חוזת או לא " id="2"/>
  </tableColumns>
  <tableStyleInfo name="רשימת עובדי לקוחות-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open?id=16lBROr6DmzGS3AaRedcxxBk5nYQMegngfhrp90Jz1JQ"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9.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7.xml"/><Relationship Id="rId6" Type="http://schemas.openxmlformats.org/officeDocument/2006/relationships/table" Target="../tables/table14.xml"/><Relationship Id="rId7" Type="http://schemas.openxmlformats.org/officeDocument/2006/relationships/table" Target="../tables/table15.xml"/><Relationship Id="rId8"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21.xml"/><Relationship Id="rId6" Type="http://schemas.openxmlformats.org/officeDocument/2006/relationships/table" Target="../tables/table18.xml"/><Relationship Id="rId7" Type="http://schemas.openxmlformats.org/officeDocument/2006/relationships/table" Target="../tables/table19.xml"/><Relationship Id="rId8"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25.xml"/><Relationship Id="rId6" Type="http://schemas.openxmlformats.org/officeDocument/2006/relationships/table" Target="../tables/table22.xml"/><Relationship Id="rId7" Type="http://schemas.openxmlformats.org/officeDocument/2006/relationships/table" Target="../tables/table23.xml"/><Relationship Id="rId8"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29.xml"/><Relationship Id="rId6" Type="http://schemas.openxmlformats.org/officeDocument/2006/relationships/table" Target="../tables/table26.xml"/><Relationship Id="rId7" Type="http://schemas.openxmlformats.org/officeDocument/2006/relationships/table" Target="../tables/table27.xml"/><Relationship Id="rId8" Type="http://schemas.openxmlformats.org/officeDocument/2006/relationships/table" Target="../tables/table2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9" Type="http://schemas.openxmlformats.org/officeDocument/2006/relationships/table" Target="../tables/table33.xml"/><Relationship Id="rId6" Type="http://schemas.openxmlformats.org/officeDocument/2006/relationships/table" Target="../tables/table30.xml"/><Relationship Id="rId7" Type="http://schemas.openxmlformats.org/officeDocument/2006/relationships/table" Target="../tables/table31.xml"/><Relationship Id="rId8" Type="http://schemas.openxmlformats.org/officeDocument/2006/relationships/table" Target="../tables/table3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37.xml"/><Relationship Id="rId6" Type="http://schemas.openxmlformats.org/officeDocument/2006/relationships/table" Target="../tables/table34.xml"/><Relationship Id="rId7" Type="http://schemas.openxmlformats.org/officeDocument/2006/relationships/table" Target="../tables/table35.xml"/><Relationship Id="rId8" Type="http://schemas.openxmlformats.org/officeDocument/2006/relationships/table" Target="../tables/table3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9" Type="http://schemas.openxmlformats.org/officeDocument/2006/relationships/table" Target="../tables/table41.xml"/><Relationship Id="rId6" Type="http://schemas.openxmlformats.org/officeDocument/2006/relationships/table" Target="../tables/table38.xml"/><Relationship Id="rId7" Type="http://schemas.openxmlformats.org/officeDocument/2006/relationships/table" Target="../tables/table39.xml"/><Relationship Id="rId8" Type="http://schemas.openxmlformats.org/officeDocument/2006/relationships/table" Target="../tables/table4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45.xml"/><Relationship Id="rId6" Type="http://schemas.openxmlformats.org/officeDocument/2006/relationships/table" Target="../tables/table42.xml"/><Relationship Id="rId7" Type="http://schemas.openxmlformats.org/officeDocument/2006/relationships/table" Target="../tables/table43.xml"/><Relationship Id="rId8" Type="http://schemas.openxmlformats.org/officeDocument/2006/relationships/table" Target="../tables/table4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9" Type="http://schemas.openxmlformats.org/officeDocument/2006/relationships/table" Target="../tables/table49.xml"/><Relationship Id="rId6" Type="http://schemas.openxmlformats.org/officeDocument/2006/relationships/table" Target="../tables/table46.xml"/><Relationship Id="rId7" Type="http://schemas.openxmlformats.org/officeDocument/2006/relationships/table" Target="../tables/table47.xml"/><Relationship Id="rId8" Type="http://schemas.openxmlformats.org/officeDocument/2006/relationships/table" Target="../tables/table4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9" Type="http://schemas.openxmlformats.org/officeDocument/2006/relationships/table" Target="../tables/table53.xml"/><Relationship Id="rId6" Type="http://schemas.openxmlformats.org/officeDocument/2006/relationships/table" Target="../tables/table50.xml"/><Relationship Id="rId7" Type="http://schemas.openxmlformats.org/officeDocument/2006/relationships/table" Target="../tables/table51.xml"/><Relationship Id="rId8" Type="http://schemas.openxmlformats.org/officeDocument/2006/relationships/table" Target="../tables/table5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9" Type="http://schemas.openxmlformats.org/officeDocument/2006/relationships/table" Target="../tables/table57.xml"/><Relationship Id="rId6" Type="http://schemas.openxmlformats.org/officeDocument/2006/relationships/table" Target="../tables/table54.xml"/><Relationship Id="rId7" Type="http://schemas.openxmlformats.org/officeDocument/2006/relationships/table" Target="../tables/table55.xml"/><Relationship Id="rId8" Type="http://schemas.openxmlformats.org/officeDocument/2006/relationships/table" Target="../tables/table5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9" Type="http://schemas.openxmlformats.org/officeDocument/2006/relationships/table" Target="../tables/table61.xml"/><Relationship Id="rId6" Type="http://schemas.openxmlformats.org/officeDocument/2006/relationships/table" Target="../tables/table58.xml"/><Relationship Id="rId7" Type="http://schemas.openxmlformats.org/officeDocument/2006/relationships/table" Target="../tables/table59.xml"/><Relationship Id="rId8" Type="http://schemas.openxmlformats.org/officeDocument/2006/relationships/table" Target="../tables/table6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9" Type="http://schemas.openxmlformats.org/officeDocument/2006/relationships/table" Target="../tables/table65.xml"/><Relationship Id="rId6" Type="http://schemas.openxmlformats.org/officeDocument/2006/relationships/table" Target="../tables/table62.xml"/><Relationship Id="rId7" Type="http://schemas.openxmlformats.org/officeDocument/2006/relationships/table" Target="../tables/table63.xml"/><Relationship Id="rId8" Type="http://schemas.openxmlformats.org/officeDocument/2006/relationships/table" Target="../tables/table6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69.xml"/><Relationship Id="rId6" Type="http://schemas.openxmlformats.org/officeDocument/2006/relationships/table" Target="../tables/table66.xml"/><Relationship Id="rId7" Type="http://schemas.openxmlformats.org/officeDocument/2006/relationships/table" Target="../tables/table67.xml"/><Relationship Id="rId8" Type="http://schemas.openxmlformats.org/officeDocument/2006/relationships/table" Target="../tables/table6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9" Type="http://schemas.openxmlformats.org/officeDocument/2006/relationships/table" Target="../tables/table73.xml"/><Relationship Id="rId6" Type="http://schemas.openxmlformats.org/officeDocument/2006/relationships/table" Target="../tables/table70.xml"/><Relationship Id="rId7" Type="http://schemas.openxmlformats.org/officeDocument/2006/relationships/table" Target="../tables/table71.xml"/><Relationship Id="rId8" Type="http://schemas.openxmlformats.org/officeDocument/2006/relationships/table" Target="../tables/table7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2.0" topLeftCell="A13" activePane="bottomLeft" state="frozen"/>
      <selection activeCell="B14" sqref="B14" pane="bottomLeft"/>
    </sheetView>
  </sheetViews>
  <sheetFormatPr customHeight="1" defaultColWidth="14.43" defaultRowHeight="15.0"/>
  <cols>
    <col customWidth="1" min="1" max="1" width="30.0"/>
    <col customWidth="1" min="2" max="2" width="32.0"/>
    <col customWidth="1" min="3" max="3" width="35.0"/>
    <col customWidth="1" min="4" max="4" width="16.14"/>
    <col customWidth="1" min="5" max="5" width="27.57"/>
    <col customWidth="1" min="6" max="6" width="55.14"/>
    <col customWidth="1" min="7" max="25" width="8.71"/>
  </cols>
  <sheetData>
    <row r="1" ht="21.75" customHeight="1">
      <c r="H1" s="1"/>
      <c r="I1" s="4" t="str">
        <f>CONCATENATE("🎯 מטרות-העל: ", 'אינדקס'!$B$5)</f>
        <v>🎯 מטרות-העל: https://docs.google.com/open?id=16lBROr6DmzGS3AaRedcxxBk5nYQMegngfhrp90Jz1JQ</v>
      </c>
      <c r="J1" s="5"/>
      <c r="K1" s="5"/>
      <c r="L1" s="5"/>
      <c r="M1" s="5"/>
      <c r="N1" s="5"/>
      <c r="O1" s="5"/>
      <c r="P1" s="7"/>
    </row>
    <row r="2">
      <c r="A2" s="9" t="s">
        <v>2</v>
      </c>
      <c r="B2" s="1"/>
      <c r="C2" s="9" t="s">
        <v>1</v>
      </c>
      <c r="D2" s="14" t="s">
        <v>6</v>
      </c>
      <c r="E2" s="15" t="s">
        <v>5</v>
      </c>
      <c r="F2" s="1"/>
      <c r="G2" s="1"/>
      <c r="H2" s="1"/>
      <c r="I2" s="1"/>
      <c r="J2" s="1"/>
      <c r="K2" s="1"/>
      <c r="L2" s="1"/>
      <c r="M2" s="1"/>
      <c r="N2" s="1"/>
      <c r="O2" s="1"/>
      <c r="P2" s="1"/>
    </row>
    <row r="3" ht="7.5" customHeight="1"/>
    <row r="4">
      <c r="A4" s="19" t="s">
        <v>10</v>
      </c>
      <c r="B4" s="22"/>
      <c r="C4" s="22"/>
    </row>
    <row r="5" ht="39.75" customHeight="1">
      <c r="A5" s="25" t="s">
        <v>11</v>
      </c>
      <c r="B5" s="32" t="s">
        <v>12</v>
      </c>
      <c r="C5" s="34"/>
      <c r="D5" s="36"/>
      <c r="E5" s="36"/>
      <c r="F5" s="38"/>
      <c r="G5" s="41"/>
    </row>
    <row r="6">
      <c r="A6" s="44" t="s">
        <v>13</v>
      </c>
      <c r="B6" s="45"/>
      <c r="C6" s="46"/>
    </row>
    <row r="7">
      <c r="A7" s="48" t="s">
        <v>14</v>
      </c>
      <c r="B7" s="50"/>
      <c r="C7" s="51"/>
    </row>
    <row r="9">
      <c r="A9" s="44" t="s">
        <v>15</v>
      </c>
      <c r="B9" s="53"/>
      <c r="C9" s="54"/>
    </row>
    <row r="10">
      <c r="A10" s="48" t="s">
        <v>16</v>
      </c>
      <c r="B10" s="50"/>
      <c r="C10" s="51"/>
    </row>
    <row r="12" ht="26.25" customHeight="1">
      <c r="A12" s="58" t="s">
        <v>17</v>
      </c>
      <c r="B12" s="59" t="s">
        <v>18</v>
      </c>
      <c r="C12" s="59" t="s">
        <v>19</v>
      </c>
      <c r="F12" s="61"/>
    </row>
    <row r="13" ht="26.25" customHeight="1">
      <c r="A13" s="64"/>
      <c r="B13" s="67" t="s">
        <v>20</v>
      </c>
      <c r="C13" s="80" t="s">
        <v>20</v>
      </c>
    </row>
    <row r="14" ht="26.25" customHeight="1">
      <c r="A14" s="83">
        <v>1.0</v>
      </c>
      <c r="B14" s="67" t="s">
        <v>27</v>
      </c>
      <c r="C14" s="80" t="s">
        <v>30</v>
      </c>
    </row>
    <row r="15" ht="26.25" customHeight="1">
      <c r="A15" s="83">
        <v>2.0</v>
      </c>
      <c r="B15" s="67" t="s">
        <v>5</v>
      </c>
      <c r="C15" s="80" t="s">
        <v>5</v>
      </c>
    </row>
    <row r="16" ht="26.25" customHeight="1">
      <c r="A16" s="83">
        <v>3.0</v>
      </c>
      <c r="B16" s="67" t="s">
        <v>37</v>
      </c>
      <c r="C16" s="87" t="str">
        <f>HYPERLINK("https://docs.google.com/spreadsheets/d/1ON4l0rpY35dBfrB0jgjQFR2HGOe-jhxxfXIZdIrogkA/edit#gid=1217484634", "פתח גיליון")</f>
        <v>פתח גיליון</v>
      </c>
    </row>
    <row r="17" ht="26.25" customHeight="1">
      <c r="A17" s="83">
        <v>5.0</v>
      </c>
      <c r="B17" s="67" t="s">
        <v>43</v>
      </c>
      <c r="C17" s="87" t="str">
        <f>HYPERLINK("https://docs.google.com/spreadsheets/d/1ON4l0rpY35dBfrB0jgjQFR2HGOe-jhxxfXIZdIrogkA/edit#gid=656135550", "פתח גיליון")</f>
        <v>פתח גיליון</v>
      </c>
    </row>
    <row r="18" ht="26.25" customHeight="1">
      <c r="A18" s="83">
        <v>6.0</v>
      </c>
      <c r="B18" s="67" t="s">
        <v>46</v>
      </c>
      <c r="C18" s="87" t="str">
        <f>HYPERLINK("https://docs.google.com/spreadsheets/d/1ON4l0rpY35dBfrB0jgjQFR2HGOe-jhxxfXIZdIrogkA/edit#gid=1722217642", "פתח גיליון")</f>
        <v>פתח גיליון</v>
      </c>
    </row>
    <row r="19" ht="26.25" customHeight="1">
      <c r="A19" s="83">
        <v>7.0</v>
      </c>
      <c r="B19" s="67" t="s">
        <v>6</v>
      </c>
      <c r="C19" s="87" t="str">
        <f>HYPERLINK("https://docs.google.com/spreadsheets/d/1ON4l0rpY35dBfrB0jgjQFR2HGOe-jhxxfXIZdIrogkA/edit#gid=927433692", "פתח גיליון")</f>
        <v>פתח גיליון</v>
      </c>
    </row>
    <row r="20" ht="26.25" customHeight="1">
      <c r="A20" s="83">
        <v>8.0</v>
      </c>
      <c r="B20" s="67" t="s">
        <v>50</v>
      </c>
      <c r="C20" s="87" t="str">
        <f>HYPERLINK("https://docs.google.com/spreadsheets/d/1ON4l0rpY35dBfrB0jgjQFR2HGOe-jhxxfXIZdIrogkA/edit#gid=1125570332", "פתח גיליון")</f>
        <v>פתח גיליון</v>
      </c>
    </row>
    <row r="21" ht="26.25" customHeight="1">
      <c r="A21" s="83">
        <v>9.0</v>
      </c>
      <c r="B21" s="67" t="s">
        <v>52</v>
      </c>
      <c r="C21" s="87" t="str">
        <f>HYPERLINK("https://docs.google.com/spreadsheets/d/1ON4l0rpY35dBfrB0jgjQFR2HGOe-jhxxfXIZdIrogkA/edit#gid=2004086106", "פתח גיליון")</f>
        <v>פתח גיליון</v>
      </c>
    </row>
    <row r="22" ht="26.25" customHeight="1">
      <c r="A22" s="83">
        <v>10.0</v>
      </c>
      <c r="B22" s="67" t="s">
        <v>53</v>
      </c>
      <c r="C22" s="87" t="str">
        <f>HYPERLINK("https://docs.google.com/spreadsheets/d/1ON4l0rpY35dBfrB0jgjQFR2HGOe-jhxxfXIZdIrogkA/edit#gid=645958431", "פתח גיליון")</f>
        <v>פתח גיליון</v>
      </c>
    </row>
    <row r="23" ht="26.25" customHeight="1">
      <c r="A23" s="83">
        <v>11.0</v>
      </c>
      <c r="B23" s="67" t="s">
        <v>54</v>
      </c>
      <c r="C23" s="87" t="str">
        <f>HYPERLINK("https://docs.google.com/spreadsheets/d/1ON4l0rpY35dBfrB0jgjQFR2HGOe-jhxxfXIZdIrogkA/edit#gid=779002980", "פתח גיליון")</f>
        <v>פתח גיליון</v>
      </c>
    </row>
    <row r="24" ht="26.25" customHeight="1">
      <c r="A24" s="83">
        <v>12.0</v>
      </c>
      <c r="B24" s="67" t="s">
        <v>55</v>
      </c>
      <c r="C24" s="87" t="str">
        <f>HYPERLINK("https://docs.google.com/spreadsheets/d/1ON4l0rpY35dBfrB0jgjQFR2HGOe-jhxxfXIZdIrogkA/edit#gid=2048049799", "פתח גיליון")</f>
        <v>פתח גיליון</v>
      </c>
    </row>
    <row r="25" ht="26.25" customHeight="1">
      <c r="A25" s="83">
        <v>13.0</v>
      </c>
      <c r="B25" s="67" t="s">
        <v>56</v>
      </c>
      <c r="C25" s="87" t="str">
        <f>HYPERLINK("https://docs.google.com/spreadsheets/d/1ON4l0rpY35dBfrB0jgjQFR2HGOe-jhxxfXIZdIrogkA/edit#gid=641230538", "פתח גיליון")</f>
        <v>פתח גיליון</v>
      </c>
    </row>
    <row r="26" ht="26.25" customHeight="1">
      <c r="A26" s="83">
        <v>14.0</v>
      </c>
      <c r="B26" s="67" t="s">
        <v>59</v>
      </c>
      <c r="C26" s="87" t="str">
        <f>HYPERLINK("https://docs.google.com/spreadsheets/d/1ON4l0rpY35dBfrB0jgjQFR2HGOe-jhxxfXIZdIrogkA/edit#gid=23401743", "פתח גיליון")</f>
        <v>פתח גיליון</v>
      </c>
    </row>
    <row r="27" ht="26.25" customHeight="1">
      <c r="A27" s="83">
        <v>14.0</v>
      </c>
      <c r="B27" s="67" t="s">
        <v>61</v>
      </c>
      <c r="C27" s="87" t="str">
        <f>HYPERLINK("https://docs.google.com/spreadsheets/d/1ON4l0rpY35dBfrB0jgjQFR2HGOe-jhxxfXIZdIrogkA/edit#gid=1441623654", "פתח גיליון")</f>
        <v>פתח גיליון</v>
      </c>
    </row>
    <row r="28" ht="26.25" customHeight="1">
      <c r="A28" s="83">
        <v>15.0</v>
      </c>
      <c r="B28" s="67" t="s">
        <v>62</v>
      </c>
      <c r="C28" s="87" t="str">
        <f>HYPERLINK("https://docs.google.com/spreadsheets/d/1ON4l0rpY35dBfrB0jgjQFR2HGOe-jhxxfXIZdIrogkA/edit#gid=1206338352", "פתח גיליון")</f>
        <v>פתח גיליון</v>
      </c>
    </row>
    <row r="29" ht="26.25" customHeight="1">
      <c r="A29" s="83">
        <v>16.0</v>
      </c>
      <c r="B29" s="67" t="s">
        <v>63</v>
      </c>
      <c r="C29" s="87" t="str">
        <f>HYPERLINK("https://docs.google.com/spreadsheets/d/1ON4l0rpY35dBfrB0jgjQFR2HGOe-jhxxfXIZdIrogkA/edit#gid=1592369228", "פתח גיליון")</f>
        <v>פתח גיליון</v>
      </c>
    </row>
    <row r="30" ht="26.25" customHeight="1">
      <c r="A30" s="64"/>
      <c r="B30" s="64"/>
      <c r="C30" s="64"/>
    </row>
    <row r="31" ht="26.25" customHeight="1">
      <c r="A31" s="64"/>
      <c r="B31" s="64"/>
      <c r="C31" s="64"/>
    </row>
    <row r="32" ht="26.25" customHeight="1">
      <c r="A32" s="64"/>
      <c r="B32" s="64"/>
      <c r="C32" s="64"/>
    </row>
    <row r="33" ht="26.25" customHeight="1">
      <c r="A33" s="64"/>
      <c r="B33" s="64"/>
      <c r="C33" s="64"/>
    </row>
    <row r="34" ht="26.25" customHeight="1">
      <c r="A34" s="64"/>
      <c r="B34" s="64"/>
      <c r="C34" s="64"/>
    </row>
    <row r="35" ht="26.25" customHeight="1">
      <c r="A35" s="64"/>
      <c r="B35" s="64"/>
      <c r="C35" s="64"/>
    </row>
    <row r="36" ht="26.25" customHeight="1">
      <c r="A36" s="64"/>
      <c r="B36" s="64"/>
      <c r="C36" s="64"/>
    </row>
    <row r="37" ht="26.25" customHeight="1">
      <c r="A37" s="64"/>
      <c r="B37" s="64"/>
      <c r="C37" s="64"/>
    </row>
    <row r="38" ht="26.25" customHeight="1">
      <c r="A38" s="64"/>
      <c r="B38" s="64"/>
      <c r="C38" s="64"/>
    </row>
    <row r="39" ht="26.25" customHeight="1">
      <c r="A39" s="64"/>
      <c r="B39" s="64"/>
      <c r="C39" s="64"/>
    </row>
    <row r="40" ht="26.25" customHeight="1">
      <c r="A40" s="64"/>
      <c r="B40" s="64"/>
      <c r="C40" s="64"/>
    </row>
    <row r="41" ht="26.25" customHeight="1">
      <c r="A41" s="64"/>
      <c r="B41" s="64"/>
      <c r="C41" s="64"/>
    </row>
    <row r="42" ht="26.25" customHeight="1">
      <c r="A42" s="64"/>
      <c r="B42" s="64"/>
      <c r="C42" s="64"/>
    </row>
    <row r="43" ht="26.25" customHeight="1">
      <c r="A43" s="64"/>
      <c r="B43" s="64"/>
      <c r="C43" s="64"/>
    </row>
    <row r="44" ht="26.25" customHeight="1">
      <c r="A44" s="64"/>
      <c r="B44" s="64"/>
      <c r="C44" s="6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3">
    <mergeCell ref="A1:G1"/>
    <mergeCell ref="I1:P1"/>
    <mergeCell ref="F5:F12"/>
  </mergeCells>
  <dataValidations>
    <dataValidation type="list" allowBlank="1" showErrorMessage="1" sqref="D2">
      <formula1>'אינדקס'!$B$13:$B$82</formula1>
    </dataValidation>
  </dataValidations>
  <hyperlinks>
    <hyperlink display="אנשי קשר " location="'אנשי קשר'!A1" ref="E2"/>
    <hyperlink r:id="rId1" ref="B5"/>
    <hyperlink display="לקוחות" location="'לקוחות'!A:A" ref="C13"/>
    <hyperlink display="בק אנד (סוגי יישויות)" location="'בק אנד (סוגי ישיות)'!A1" ref="C14"/>
    <hyperlink display="אנשי קשר " location="'אנשי קשר'!A1" ref="C15"/>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7" width="25.14"/>
    <col customWidth="1" min="18" max="18" width="5.0"/>
    <col customWidth="1" min="19" max="19" width="22.0"/>
    <col customWidth="1" min="20" max="20" width="18.43"/>
    <col customWidth="1" min="21" max="21" width="20.0"/>
    <col customWidth="1" min="22" max="22" width="24.0"/>
    <col customWidth="1" min="23" max="23" width="21.14"/>
    <col customWidth="1" min="24" max="24" width="18.0"/>
    <col customWidth="1" min="25" max="26" width="16.0"/>
    <col customWidth="1" min="27" max="27" width="20.0"/>
    <col customWidth="1" min="28" max="28" width="22.0"/>
    <col customWidth="1" min="29" max="29" width="44.57"/>
    <col customWidth="1" min="30" max="30" width="51.43"/>
    <col customWidth="1" min="31" max="31" width="22.0"/>
    <col customWidth="1" min="32" max="35" width="8.71"/>
  </cols>
  <sheetData>
    <row r="1" ht="39.75" customHeight="1">
      <c r="E1" s="2"/>
      <c r="F1" s="3"/>
      <c r="G1" s="6" t="s">
        <v>0</v>
      </c>
      <c r="H1" s="8" t="s">
        <v>1</v>
      </c>
      <c r="I1" s="11" t="s">
        <v>4</v>
      </c>
      <c r="J1" s="12" t="str">
        <f>VLOOKUP(I1,'אינדקס'!B13:C91,2)</f>
        <v>פתח גיליון</v>
      </c>
      <c r="K1" s="13"/>
      <c r="L1" s="16" t="s">
        <v>7</v>
      </c>
      <c r="M1" s="18"/>
      <c r="N1" s="18"/>
      <c r="O1" s="18"/>
      <c r="P1" s="18"/>
      <c r="Q1" s="18"/>
      <c r="R1" s="18"/>
      <c r="S1" s="16" t="s">
        <v>8</v>
      </c>
      <c r="T1" s="3"/>
      <c r="U1" s="6" t="s">
        <v>0</v>
      </c>
      <c r="V1" s="8" t="s">
        <v>1</v>
      </c>
      <c r="W1" s="11" t="s">
        <v>9</v>
      </c>
      <c r="X1" s="20" t="str">
        <f>VLOOKUP(W1,'אינדקס'!B13:C91,2)</f>
        <v>פתח גיליון</v>
      </c>
      <c r="Y1" s="21"/>
      <c r="Z1" s="23"/>
      <c r="AA1" s="24"/>
    </row>
    <row r="2" ht="21.75" customHeight="1">
      <c r="E2" s="26"/>
      <c r="F2" s="27" t="str">
        <f>CONCATENATE("🎯 מטרות-העל: ", 'אינדקס'!$B$5)</f>
        <v>🎯 מטרות-העל: https://docs.google.com/open?id=16lBROr6DmzGS3AaRedcxxBk5nYQMegngfhrp90Jz1JQ</v>
      </c>
      <c r="G2" s="28"/>
      <c r="H2" s="28"/>
      <c r="I2" s="28"/>
      <c r="J2" s="28"/>
      <c r="K2" s="28"/>
      <c r="L2" s="29"/>
      <c r="M2" s="30"/>
      <c r="N2" s="18"/>
      <c r="O2" s="18"/>
      <c r="P2" s="18"/>
      <c r="Q2" s="18"/>
      <c r="R2" s="18"/>
      <c r="S2" s="31"/>
      <c r="T2" s="27" t="str">
        <f>CONCATENATE("🎯 מטרות-העל: ", 'אינדקס'!$B$5)</f>
        <v>🎯 מטרות-העל: https://docs.google.com/open?id=16lBROr6DmzGS3AaRedcxxBk5nYQMegngfhrp90Jz1JQ</v>
      </c>
      <c r="U2" s="28"/>
      <c r="V2" s="28"/>
      <c r="W2" s="28"/>
      <c r="X2" s="28"/>
      <c r="Y2" s="28"/>
      <c r="Z2" s="28"/>
      <c r="AA2" s="29"/>
    </row>
    <row r="3">
      <c r="E3" s="33"/>
      <c r="F3" s="35"/>
      <c r="G3" s="35"/>
      <c r="H3" s="35"/>
      <c r="I3" s="35"/>
      <c r="J3" s="35"/>
      <c r="K3" s="35"/>
      <c r="L3" s="37"/>
      <c r="S3" s="33"/>
      <c r="T3" s="35"/>
      <c r="U3" s="35"/>
      <c r="V3" s="35"/>
      <c r="W3" s="35"/>
      <c r="X3" s="39"/>
      <c r="Y3" s="40"/>
      <c r="Z3" s="40"/>
      <c r="AA3" s="42"/>
    </row>
    <row r="4">
      <c r="E4" s="43"/>
      <c r="F4" s="47" t="str">
        <f t="shared" ref="F4:F7" si="1">IF(G4="","",ROW()-6)</f>
        <v/>
      </c>
      <c r="G4" s="47"/>
      <c r="H4" s="47"/>
      <c r="I4" s="47"/>
      <c r="J4" s="47"/>
      <c r="K4" s="47"/>
      <c r="L4" s="49"/>
      <c r="R4" s="52" t="str">
        <f t="shared" ref="R4:R7" si="2">IF(S4="","",ROW()-6)</f>
        <v/>
      </c>
      <c r="S4" s="43"/>
      <c r="T4" s="47" t="str">
        <f t="shared" ref="T4:T7" si="3">IF(U4="","",ROW()-6)</f>
        <v/>
      </c>
      <c r="U4" s="47"/>
      <c r="V4" s="47"/>
      <c r="W4" s="47"/>
      <c r="X4" s="55"/>
      <c r="Y4" s="56"/>
      <c r="Z4" s="56"/>
      <c r="AA4" s="57"/>
    </row>
    <row r="5">
      <c r="E5" s="43"/>
      <c r="F5" s="47" t="str">
        <f t="shared" si="1"/>
        <v/>
      </c>
      <c r="G5" s="47"/>
      <c r="H5" s="47"/>
      <c r="I5" s="47"/>
      <c r="J5" s="47"/>
      <c r="K5" s="47"/>
      <c r="L5" s="49"/>
      <c r="R5" s="52" t="str">
        <f t="shared" si="2"/>
        <v/>
      </c>
      <c r="S5" s="43"/>
      <c r="T5" s="47" t="str">
        <f t="shared" si="3"/>
        <v/>
      </c>
      <c r="U5" s="47"/>
      <c r="V5" s="47"/>
      <c r="W5" s="47"/>
      <c r="X5" s="55"/>
      <c r="Y5" s="56"/>
      <c r="Z5" s="56"/>
      <c r="AA5" s="57"/>
    </row>
    <row r="6">
      <c r="E6" s="43"/>
      <c r="F6" s="47" t="str">
        <f t="shared" si="1"/>
        <v/>
      </c>
      <c r="G6" s="47"/>
      <c r="H6" s="47"/>
      <c r="I6" s="47"/>
      <c r="J6" s="47"/>
      <c r="K6" s="47"/>
      <c r="L6" s="49"/>
      <c r="R6" s="52" t="str">
        <f t="shared" si="2"/>
        <v/>
      </c>
      <c r="S6" s="43"/>
      <c r="T6" s="47" t="str">
        <f t="shared" si="3"/>
        <v/>
      </c>
      <c r="U6" s="47"/>
      <c r="V6" s="47"/>
      <c r="W6" s="47"/>
      <c r="X6" s="55"/>
      <c r="Y6" s="56"/>
      <c r="Z6" s="56"/>
      <c r="AA6" s="57"/>
    </row>
    <row r="7">
      <c r="E7" s="60"/>
      <c r="F7" s="62" t="str">
        <f t="shared" si="1"/>
        <v/>
      </c>
      <c r="G7" s="62"/>
      <c r="H7" s="62"/>
      <c r="I7" s="62"/>
      <c r="J7" s="62"/>
      <c r="K7" s="62"/>
      <c r="L7" s="63"/>
      <c r="R7" s="52" t="str">
        <f t="shared" si="2"/>
        <v/>
      </c>
      <c r="S7" s="60"/>
      <c r="T7" s="62" t="str">
        <f t="shared" si="3"/>
        <v/>
      </c>
      <c r="U7" s="62"/>
      <c r="V7" s="62"/>
      <c r="W7" s="62"/>
      <c r="X7" s="65"/>
      <c r="Y7" s="66"/>
      <c r="Z7" s="66"/>
      <c r="AA7" s="68"/>
    </row>
    <row r="8">
      <c r="E8" s="69"/>
      <c r="F8" s="70"/>
      <c r="G8" s="71"/>
      <c r="H8" s="71"/>
      <c r="I8" s="71"/>
      <c r="J8" s="71"/>
      <c r="K8" s="71"/>
      <c r="L8" s="71"/>
      <c r="R8" s="72"/>
      <c r="S8" s="73"/>
      <c r="T8" s="73"/>
      <c r="U8" s="73"/>
      <c r="V8" s="73"/>
      <c r="W8" s="73"/>
      <c r="X8" s="74"/>
      <c r="Y8" s="75"/>
      <c r="Z8" s="75"/>
      <c r="AA8" s="76"/>
    </row>
    <row r="9" ht="26.25" customHeight="1">
      <c r="B9" s="77"/>
      <c r="C9" s="77"/>
      <c r="D9" s="77"/>
      <c r="E9" s="78"/>
      <c r="F9" s="79" t="s">
        <v>17</v>
      </c>
      <c r="G9" s="81" t="s">
        <v>21</v>
      </c>
      <c r="H9" s="82" t="s">
        <v>22</v>
      </c>
      <c r="I9" s="81" t="s">
        <v>23</v>
      </c>
      <c r="J9" s="81" t="s">
        <v>24</v>
      </c>
      <c r="K9" s="81" t="s">
        <v>25</v>
      </c>
      <c r="L9" s="81" t="s">
        <v>26</v>
      </c>
      <c r="M9" s="77"/>
      <c r="N9" s="77"/>
      <c r="O9" s="77"/>
      <c r="P9" s="77"/>
      <c r="Q9" s="77"/>
      <c r="R9" s="79" t="s">
        <v>17</v>
      </c>
      <c r="S9" s="81" t="s">
        <v>33</v>
      </c>
      <c r="T9" s="81" t="s">
        <v>34</v>
      </c>
      <c r="U9" s="81" t="s">
        <v>35</v>
      </c>
      <c r="V9" s="81" t="s">
        <v>36</v>
      </c>
      <c r="W9" s="81" t="s">
        <v>38</v>
      </c>
      <c r="X9" s="81" t="s">
        <v>26</v>
      </c>
      <c r="Y9" s="85"/>
      <c r="Z9" s="85"/>
      <c r="AA9" s="86" t="s">
        <v>39</v>
      </c>
      <c r="AB9" s="86" t="s">
        <v>40</v>
      </c>
      <c r="AC9" s="86" t="s">
        <v>41</v>
      </c>
      <c r="AD9" s="86" t="s">
        <v>42</v>
      </c>
    </row>
    <row r="10" ht="26.25" customHeight="1">
      <c r="B10" s="86" t="s">
        <v>44</v>
      </c>
      <c r="C10" s="86" t="s">
        <v>45</v>
      </c>
      <c r="D10" s="77"/>
      <c r="E10" s="88"/>
      <c r="F10" s="89" t="str">
        <f t="shared" ref="F10:F69" si="4">IF(G10="","",ROW()-9)</f>
        <v/>
      </c>
      <c r="G10" s="90"/>
      <c r="H10" s="91"/>
      <c r="I10" s="92"/>
      <c r="J10" s="93" t="b">
        <v>0</v>
      </c>
      <c r="K10" s="89"/>
      <c r="L10" s="89"/>
      <c r="M10" s="95"/>
      <c r="N10" s="95"/>
      <c r="O10" s="95"/>
      <c r="P10" s="95"/>
      <c r="Q10" s="95"/>
      <c r="R10" s="89" t="str">
        <f t="shared" ref="R10:R198" si="5">IF(S10="","",ROW()-6)</f>
        <v/>
      </c>
      <c r="S10" s="89"/>
      <c r="T10" s="92"/>
      <c r="U10" s="92"/>
      <c r="V10" s="89"/>
      <c r="W10" s="92"/>
      <c r="X10" s="89"/>
      <c r="Y10" s="97"/>
      <c r="Z10" s="97"/>
      <c r="AA10" s="98"/>
      <c r="AB10" s="92"/>
      <c r="AC10" s="99"/>
      <c r="AD10" s="99"/>
    </row>
    <row r="11" ht="26.25" customHeight="1">
      <c r="B11" s="100"/>
      <c r="C11" s="93" t="b">
        <v>0</v>
      </c>
      <c r="D11" s="77"/>
      <c r="E11" s="101"/>
      <c r="F11" s="89" t="str">
        <f t="shared" si="4"/>
        <v/>
      </c>
      <c r="G11" s="92"/>
      <c r="H11" s="103"/>
      <c r="I11" s="92"/>
      <c r="J11" s="93" t="b">
        <v>0</v>
      </c>
      <c r="K11" s="89"/>
      <c r="L11" s="89"/>
      <c r="M11" s="95"/>
      <c r="N11" s="95"/>
      <c r="O11" s="95"/>
      <c r="P11" s="95"/>
      <c r="Q11" s="95"/>
      <c r="R11" s="89" t="str">
        <f t="shared" si="5"/>
        <v/>
      </c>
      <c r="S11" s="89"/>
      <c r="T11" s="92"/>
      <c r="U11" s="92"/>
      <c r="V11" s="89"/>
      <c r="W11" s="92"/>
      <c r="X11" s="89"/>
      <c r="Y11" s="104"/>
      <c r="Z11" s="104"/>
      <c r="AA11" s="92"/>
      <c r="AB11" s="92"/>
      <c r="AC11" s="99"/>
      <c r="AD11" s="99"/>
    </row>
    <row r="12" ht="26.25" customHeight="1">
      <c r="B12" s="99"/>
      <c r="C12" s="93" t="b">
        <v>0</v>
      </c>
      <c r="D12" s="77"/>
      <c r="E12" s="101"/>
      <c r="F12" s="89" t="str">
        <f t="shared" si="4"/>
        <v/>
      </c>
      <c r="G12" s="92"/>
      <c r="H12" s="103"/>
      <c r="I12" s="92"/>
      <c r="J12" s="93" t="b">
        <v>0</v>
      </c>
      <c r="K12" s="89"/>
      <c r="L12" s="89"/>
      <c r="M12" s="95"/>
      <c r="N12" s="95"/>
      <c r="O12" s="95"/>
      <c r="P12" s="95"/>
      <c r="Q12" s="95"/>
      <c r="R12" s="89" t="str">
        <f t="shared" si="5"/>
        <v/>
      </c>
      <c r="S12" s="89"/>
      <c r="T12" s="92"/>
      <c r="U12" s="92"/>
      <c r="V12" s="89"/>
      <c r="W12" s="92"/>
      <c r="X12" s="89"/>
      <c r="Y12" s="104"/>
      <c r="Z12" s="104"/>
      <c r="AA12" s="92"/>
      <c r="AB12" s="92"/>
      <c r="AC12" s="99"/>
      <c r="AD12" s="99"/>
    </row>
    <row r="13" ht="26.25" customHeight="1">
      <c r="B13" s="99"/>
      <c r="C13" s="93" t="b">
        <v>0</v>
      </c>
      <c r="D13" s="77"/>
      <c r="E13" s="101"/>
      <c r="F13" s="89" t="str">
        <f t="shared" si="4"/>
        <v/>
      </c>
      <c r="G13" s="92"/>
      <c r="H13" s="103"/>
      <c r="I13" s="92"/>
      <c r="J13" s="93" t="b">
        <v>0</v>
      </c>
      <c r="K13" s="89"/>
      <c r="L13" s="89"/>
      <c r="M13" s="95"/>
      <c r="N13" s="95"/>
      <c r="O13" s="95"/>
      <c r="P13" s="95"/>
      <c r="Q13" s="95"/>
      <c r="R13" s="89" t="str">
        <f t="shared" si="5"/>
        <v/>
      </c>
      <c r="S13" s="89"/>
      <c r="T13" s="92"/>
      <c r="U13" s="92"/>
      <c r="V13" s="89"/>
      <c r="W13" s="92"/>
      <c r="X13" s="89"/>
      <c r="Y13" s="104"/>
      <c r="Z13" s="104"/>
      <c r="AA13" s="92"/>
      <c r="AB13" s="92"/>
      <c r="AC13" s="99"/>
      <c r="AD13" s="99"/>
    </row>
    <row r="14" ht="26.25" customHeight="1">
      <c r="B14" s="99"/>
      <c r="C14" s="93" t="b">
        <v>0</v>
      </c>
      <c r="D14" s="77"/>
      <c r="E14" s="101"/>
      <c r="F14" s="89" t="str">
        <f t="shared" si="4"/>
        <v/>
      </c>
      <c r="G14" s="92"/>
      <c r="H14" s="103"/>
      <c r="I14" s="92"/>
      <c r="J14" s="93" t="b">
        <v>0</v>
      </c>
      <c r="K14" s="89"/>
      <c r="L14" s="89"/>
      <c r="M14" s="95"/>
      <c r="N14" s="95"/>
      <c r="O14" s="95"/>
      <c r="P14" s="95"/>
      <c r="Q14" s="95"/>
      <c r="R14" s="89" t="str">
        <f t="shared" si="5"/>
        <v/>
      </c>
      <c r="S14" s="89"/>
      <c r="T14" s="92"/>
      <c r="U14" s="92"/>
      <c r="V14" s="89"/>
      <c r="W14" s="92"/>
      <c r="X14" s="89"/>
      <c r="Y14" s="104"/>
      <c r="Z14" s="104"/>
      <c r="AA14" s="92"/>
      <c r="AB14" s="92"/>
      <c r="AC14" s="99"/>
      <c r="AD14" s="99"/>
    </row>
    <row r="15" ht="26.25" customHeight="1">
      <c r="B15" s="99"/>
      <c r="C15" s="93" t="b">
        <v>0</v>
      </c>
      <c r="D15" s="77"/>
      <c r="E15" s="101"/>
      <c r="F15" s="89" t="str">
        <f t="shared" si="4"/>
        <v/>
      </c>
      <c r="G15" s="92"/>
      <c r="H15" s="103"/>
      <c r="I15" s="92"/>
      <c r="J15" s="93" t="b">
        <v>0</v>
      </c>
      <c r="K15" s="89"/>
      <c r="L15" s="89"/>
      <c r="M15" s="95"/>
      <c r="N15" s="95"/>
      <c r="O15" s="95"/>
      <c r="P15" s="95"/>
      <c r="Q15" s="95"/>
      <c r="R15" s="89" t="str">
        <f t="shared" si="5"/>
        <v/>
      </c>
      <c r="S15" s="89"/>
      <c r="T15" s="92"/>
      <c r="U15" s="92"/>
      <c r="V15" s="89"/>
      <c r="W15" s="92"/>
      <c r="X15" s="89"/>
      <c r="Y15" s="104"/>
      <c r="Z15" s="104"/>
      <c r="AA15" s="92"/>
      <c r="AB15" s="92"/>
      <c r="AC15" s="99"/>
      <c r="AD15" s="99"/>
    </row>
    <row r="16" ht="26.25" customHeight="1">
      <c r="B16" s="99"/>
      <c r="C16" s="93" t="b">
        <v>0</v>
      </c>
      <c r="D16" s="77"/>
      <c r="E16" s="101"/>
      <c r="F16" s="89" t="str">
        <f t="shared" si="4"/>
        <v/>
      </c>
      <c r="G16" s="92"/>
      <c r="H16" s="103"/>
      <c r="I16" s="92"/>
      <c r="J16" s="93" t="b">
        <v>0</v>
      </c>
      <c r="K16" s="89"/>
      <c r="L16" s="89"/>
      <c r="M16" s="95"/>
      <c r="N16" s="95"/>
      <c r="O16" s="95"/>
      <c r="P16" s="95"/>
      <c r="Q16" s="95"/>
      <c r="R16" s="89" t="str">
        <f t="shared" si="5"/>
        <v/>
      </c>
      <c r="S16" s="89"/>
      <c r="T16" s="92"/>
      <c r="U16" s="92"/>
      <c r="V16" s="89"/>
      <c r="W16" s="92"/>
      <c r="X16" s="89"/>
      <c r="Y16" s="104"/>
      <c r="Z16" s="104"/>
      <c r="AA16" s="92"/>
      <c r="AB16" s="92"/>
      <c r="AC16" s="99"/>
      <c r="AD16" s="99"/>
    </row>
    <row r="17" ht="26.25" customHeight="1">
      <c r="B17" s="99"/>
      <c r="C17" s="93" t="b">
        <v>0</v>
      </c>
      <c r="D17" s="77"/>
      <c r="E17" s="101"/>
      <c r="F17" s="89" t="str">
        <f t="shared" si="4"/>
        <v/>
      </c>
      <c r="G17" s="92"/>
      <c r="H17" s="103"/>
      <c r="I17" s="92"/>
      <c r="J17" s="93" t="b">
        <v>0</v>
      </c>
      <c r="K17" s="89"/>
      <c r="L17" s="89"/>
      <c r="M17" s="95"/>
      <c r="N17" s="95"/>
      <c r="O17" s="95"/>
      <c r="P17" s="95"/>
      <c r="Q17" s="95"/>
      <c r="R17" s="89" t="str">
        <f t="shared" si="5"/>
        <v/>
      </c>
      <c r="S17" s="89"/>
      <c r="T17" s="92"/>
      <c r="U17" s="92"/>
      <c r="V17" s="89"/>
      <c r="W17" s="92"/>
      <c r="X17" s="89"/>
      <c r="Y17" s="104"/>
      <c r="Z17" s="104"/>
      <c r="AA17" s="92"/>
      <c r="AB17" s="92"/>
      <c r="AC17" s="99"/>
      <c r="AD17" s="99"/>
    </row>
    <row r="18" ht="26.25" customHeight="1">
      <c r="B18" s="99"/>
      <c r="C18" s="93" t="b">
        <v>0</v>
      </c>
      <c r="D18" s="77"/>
      <c r="E18" s="101"/>
      <c r="F18" s="89" t="str">
        <f t="shared" si="4"/>
        <v/>
      </c>
      <c r="G18" s="92"/>
      <c r="H18" s="103"/>
      <c r="I18" s="92"/>
      <c r="J18" s="93" t="b">
        <v>0</v>
      </c>
      <c r="K18" s="89"/>
      <c r="L18" s="89"/>
      <c r="M18" s="95"/>
      <c r="N18" s="95"/>
      <c r="O18" s="95"/>
      <c r="P18" s="95"/>
      <c r="Q18" s="95"/>
      <c r="R18" s="89" t="str">
        <f t="shared" si="5"/>
        <v/>
      </c>
      <c r="S18" s="89"/>
      <c r="T18" s="92"/>
      <c r="U18" s="92"/>
      <c r="V18" s="89"/>
      <c r="W18" s="92"/>
      <c r="X18" s="89"/>
      <c r="Y18" s="104"/>
      <c r="Z18" s="104"/>
      <c r="AA18" s="92"/>
      <c r="AB18" s="92"/>
      <c r="AC18" s="99"/>
      <c r="AD18" s="99"/>
    </row>
    <row r="19" ht="26.25" customHeight="1">
      <c r="B19" s="99"/>
      <c r="C19" s="93" t="b">
        <v>0</v>
      </c>
      <c r="D19" s="77"/>
      <c r="E19" s="101"/>
      <c r="F19" s="89" t="str">
        <f t="shared" si="4"/>
        <v/>
      </c>
      <c r="G19" s="92"/>
      <c r="H19" s="103"/>
      <c r="I19" s="92"/>
      <c r="J19" s="93" t="b">
        <v>0</v>
      </c>
      <c r="K19" s="89"/>
      <c r="L19" s="89"/>
      <c r="M19" s="95"/>
      <c r="N19" s="95"/>
      <c r="O19" s="95"/>
      <c r="P19" s="95"/>
      <c r="Q19" s="95"/>
      <c r="R19" s="89" t="str">
        <f t="shared" si="5"/>
        <v/>
      </c>
      <c r="S19" s="89"/>
      <c r="T19" s="92"/>
      <c r="U19" s="92"/>
      <c r="V19" s="89"/>
      <c r="W19" s="92"/>
      <c r="X19" s="89"/>
      <c r="Y19" s="104"/>
      <c r="Z19" s="104"/>
      <c r="AA19" s="92"/>
      <c r="AB19" s="92"/>
      <c r="AC19" s="99"/>
      <c r="AD19" s="99"/>
    </row>
    <row r="20" ht="26.25" customHeight="1">
      <c r="B20" s="99"/>
      <c r="C20" s="93" t="b">
        <v>0</v>
      </c>
      <c r="D20" s="77"/>
      <c r="E20" s="101"/>
      <c r="F20" s="89" t="str">
        <f t="shared" si="4"/>
        <v/>
      </c>
      <c r="G20" s="92"/>
      <c r="H20" s="106"/>
      <c r="I20" s="92"/>
      <c r="J20" s="93" t="b">
        <v>0</v>
      </c>
      <c r="K20" s="89"/>
      <c r="L20" s="89"/>
      <c r="M20" s="95"/>
      <c r="N20" s="95"/>
      <c r="O20" s="95"/>
      <c r="P20" s="95"/>
      <c r="Q20" s="95"/>
      <c r="R20" s="89" t="str">
        <f t="shared" si="5"/>
        <v/>
      </c>
      <c r="S20" s="89"/>
      <c r="T20" s="92"/>
      <c r="U20" s="92"/>
      <c r="V20" s="89"/>
      <c r="W20" s="92"/>
      <c r="X20" s="89"/>
      <c r="Y20" s="104"/>
      <c r="Z20" s="104"/>
      <c r="AA20" s="92"/>
      <c r="AB20" s="92"/>
      <c r="AC20" s="99"/>
      <c r="AD20" s="99"/>
    </row>
    <row r="21" ht="26.25" customHeight="1">
      <c r="B21" s="99"/>
      <c r="C21" s="93" t="b">
        <v>0</v>
      </c>
      <c r="D21" s="77"/>
      <c r="E21" s="101"/>
      <c r="F21" s="89" t="str">
        <f t="shared" si="4"/>
        <v/>
      </c>
      <c r="G21" s="92"/>
      <c r="H21" s="103"/>
      <c r="I21" s="92"/>
      <c r="J21" s="93" t="b">
        <v>0</v>
      </c>
      <c r="K21" s="89"/>
      <c r="L21" s="89"/>
      <c r="M21" s="95"/>
      <c r="N21" s="95"/>
      <c r="O21" s="95"/>
      <c r="P21" s="95"/>
      <c r="Q21" s="95"/>
      <c r="R21" s="89" t="str">
        <f t="shared" si="5"/>
        <v/>
      </c>
      <c r="S21" s="89"/>
      <c r="T21" s="92"/>
      <c r="U21" s="92"/>
      <c r="V21" s="89"/>
      <c r="W21" s="92"/>
      <c r="X21" s="89"/>
      <c r="Y21" s="104"/>
      <c r="Z21" s="104"/>
      <c r="AA21" s="92"/>
      <c r="AB21" s="92"/>
      <c r="AC21" s="99"/>
      <c r="AD21" s="99"/>
    </row>
    <row r="22" ht="26.25" customHeight="1">
      <c r="B22" s="99"/>
      <c r="C22" s="93" t="b">
        <v>0</v>
      </c>
      <c r="D22" s="77"/>
      <c r="E22" s="101"/>
      <c r="F22" s="89" t="str">
        <f t="shared" si="4"/>
        <v/>
      </c>
      <c r="G22" s="92"/>
      <c r="H22" s="103"/>
      <c r="I22" s="92"/>
      <c r="J22" s="93" t="b">
        <v>0</v>
      </c>
      <c r="K22" s="89"/>
      <c r="L22" s="89"/>
      <c r="M22" s="95"/>
      <c r="N22" s="95"/>
      <c r="O22" s="95"/>
      <c r="P22" s="95"/>
      <c r="Q22" s="95"/>
      <c r="R22" s="89" t="str">
        <f t="shared" si="5"/>
        <v/>
      </c>
      <c r="S22" s="89"/>
      <c r="T22" s="92"/>
      <c r="U22" s="92"/>
      <c r="V22" s="89"/>
      <c r="W22" s="92"/>
      <c r="X22" s="89"/>
      <c r="Y22" s="104"/>
      <c r="Z22" s="104"/>
      <c r="AA22" s="92"/>
      <c r="AB22" s="92"/>
      <c r="AC22" s="99"/>
      <c r="AD22" s="99"/>
    </row>
    <row r="23" ht="26.25" customHeight="1">
      <c r="B23" s="99"/>
      <c r="C23" s="93" t="b">
        <v>0</v>
      </c>
      <c r="D23" s="77"/>
      <c r="E23" s="101"/>
      <c r="F23" s="89" t="str">
        <f t="shared" si="4"/>
        <v/>
      </c>
      <c r="G23" s="92"/>
      <c r="H23" s="103"/>
      <c r="I23" s="92"/>
      <c r="J23" s="93" t="b">
        <v>0</v>
      </c>
      <c r="K23" s="89"/>
      <c r="L23" s="89"/>
      <c r="M23" s="95"/>
      <c r="N23" s="95"/>
      <c r="O23" s="95"/>
      <c r="P23" s="95"/>
      <c r="Q23" s="95"/>
      <c r="R23" s="89" t="str">
        <f t="shared" si="5"/>
        <v/>
      </c>
      <c r="S23" s="89"/>
      <c r="T23" s="92"/>
      <c r="U23" s="92"/>
      <c r="V23" s="89"/>
      <c r="W23" s="92"/>
      <c r="X23" s="89"/>
      <c r="Y23" s="104"/>
      <c r="Z23" s="104"/>
      <c r="AA23" s="92"/>
      <c r="AB23" s="92"/>
      <c r="AC23" s="99"/>
      <c r="AD23" s="99"/>
    </row>
    <row r="24" ht="26.25" customHeight="1">
      <c r="B24" s="99"/>
      <c r="C24" s="93" t="b">
        <v>0</v>
      </c>
      <c r="D24" s="77"/>
      <c r="E24" s="101"/>
      <c r="F24" s="89" t="str">
        <f t="shared" si="4"/>
        <v/>
      </c>
      <c r="G24" s="92"/>
      <c r="H24" s="103"/>
      <c r="I24" s="92"/>
      <c r="J24" s="93" t="b">
        <v>0</v>
      </c>
      <c r="K24" s="89"/>
      <c r="L24" s="89"/>
      <c r="M24" s="95"/>
      <c r="N24" s="95"/>
      <c r="O24" s="95"/>
      <c r="P24" s="95"/>
      <c r="Q24" s="95"/>
      <c r="R24" s="89" t="str">
        <f t="shared" si="5"/>
        <v/>
      </c>
      <c r="S24" s="89"/>
      <c r="T24" s="92"/>
      <c r="U24" s="92"/>
      <c r="V24" s="89"/>
      <c r="W24" s="92"/>
      <c r="X24" s="89"/>
      <c r="Y24" s="104"/>
      <c r="Z24" s="104"/>
      <c r="AA24" s="92"/>
      <c r="AB24" s="92"/>
      <c r="AC24" s="99"/>
      <c r="AD24" s="99"/>
    </row>
    <row r="25" ht="26.25" customHeight="1">
      <c r="B25" s="99"/>
      <c r="C25" s="93" t="b">
        <v>0</v>
      </c>
      <c r="D25" s="77"/>
      <c r="E25" s="101"/>
      <c r="F25" s="89" t="str">
        <f t="shared" si="4"/>
        <v/>
      </c>
      <c r="G25" s="92"/>
      <c r="H25" s="103"/>
      <c r="I25" s="92"/>
      <c r="J25" s="93" t="b">
        <v>0</v>
      </c>
      <c r="K25" s="89"/>
      <c r="L25" s="89"/>
      <c r="M25" s="95"/>
      <c r="N25" s="95"/>
      <c r="O25" s="95"/>
      <c r="P25" s="95"/>
      <c r="Q25" s="95"/>
      <c r="R25" s="89" t="str">
        <f t="shared" si="5"/>
        <v/>
      </c>
      <c r="S25" s="89"/>
      <c r="T25" s="92"/>
      <c r="U25" s="92"/>
      <c r="V25" s="89"/>
      <c r="W25" s="92"/>
      <c r="X25" s="89"/>
      <c r="Y25" s="104"/>
      <c r="Z25" s="104"/>
      <c r="AA25" s="92"/>
      <c r="AB25" s="92"/>
      <c r="AC25" s="99"/>
      <c r="AD25" s="99"/>
    </row>
    <row r="26" ht="26.25" customHeight="1">
      <c r="B26" s="99"/>
      <c r="C26" s="93" t="b">
        <v>0</v>
      </c>
      <c r="D26" s="77"/>
      <c r="E26" s="101"/>
      <c r="F26" s="89" t="str">
        <f t="shared" si="4"/>
        <v/>
      </c>
      <c r="G26" s="92"/>
      <c r="H26" s="103"/>
      <c r="I26" s="92"/>
      <c r="J26" s="93" t="b">
        <v>0</v>
      </c>
      <c r="K26" s="89"/>
      <c r="L26" s="89"/>
      <c r="M26" s="95"/>
      <c r="N26" s="95"/>
      <c r="O26" s="95"/>
      <c r="P26" s="95"/>
      <c r="Q26" s="95"/>
      <c r="R26" s="89" t="str">
        <f t="shared" si="5"/>
        <v/>
      </c>
      <c r="S26" s="89"/>
      <c r="T26" s="92"/>
      <c r="U26" s="92"/>
      <c r="V26" s="89"/>
      <c r="W26" s="92"/>
      <c r="X26" s="89"/>
      <c r="Y26" s="104"/>
      <c r="Z26" s="104"/>
      <c r="AA26" s="92"/>
      <c r="AB26" s="92"/>
      <c r="AC26" s="99"/>
      <c r="AD26" s="99"/>
    </row>
    <row r="27" ht="26.25" customHeight="1">
      <c r="B27" s="99"/>
      <c r="C27" s="93" t="b">
        <v>0</v>
      </c>
      <c r="D27" s="77"/>
      <c r="E27" s="101"/>
      <c r="F27" s="89" t="str">
        <f t="shared" si="4"/>
        <v/>
      </c>
      <c r="G27" s="92"/>
      <c r="H27" s="103"/>
      <c r="I27" s="92"/>
      <c r="J27" s="93" t="b">
        <v>0</v>
      </c>
      <c r="K27" s="89"/>
      <c r="L27" s="89"/>
      <c r="M27" s="95"/>
      <c r="N27" s="95"/>
      <c r="O27" s="95"/>
      <c r="P27" s="95"/>
      <c r="Q27" s="95"/>
      <c r="R27" s="89" t="str">
        <f t="shared" si="5"/>
        <v/>
      </c>
      <c r="S27" s="89"/>
      <c r="T27" s="92"/>
      <c r="U27" s="92"/>
      <c r="V27" s="89"/>
      <c r="W27" s="92"/>
      <c r="X27" s="89"/>
      <c r="Y27" s="104"/>
      <c r="Z27" s="104"/>
      <c r="AA27" s="92"/>
      <c r="AB27" s="92"/>
      <c r="AC27" s="99"/>
      <c r="AD27" s="99"/>
    </row>
    <row r="28" ht="26.25" customHeight="1">
      <c r="B28" s="99"/>
      <c r="C28" s="93" t="b">
        <v>0</v>
      </c>
      <c r="D28" s="77"/>
      <c r="E28" s="101"/>
      <c r="F28" s="89" t="str">
        <f t="shared" si="4"/>
        <v/>
      </c>
      <c r="G28" s="92"/>
      <c r="H28" s="103"/>
      <c r="I28" s="92"/>
      <c r="J28" s="93" t="b">
        <v>0</v>
      </c>
      <c r="K28" s="89"/>
      <c r="L28" s="89"/>
      <c r="M28" s="95"/>
      <c r="N28" s="95"/>
      <c r="O28" s="95"/>
      <c r="P28" s="95"/>
      <c r="Q28" s="95"/>
      <c r="R28" s="89" t="str">
        <f t="shared" si="5"/>
        <v/>
      </c>
      <c r="S28" s="89"/>
      <c r="T28" s="92"/>
      <c r="U28" s="92"/>
      <c r="V28" s="89"/>
      <c r="W28" s="92"/>
      <c r="X28" s="89"/>
      <c r="Y28" s="104"/>
      <c r="Z28" s="104"/>
      <c r="AA28" s="92"/>
      <c r="AB28" s="92"/>
      <c r="AC28" s="99"/>
      <c r="AD28" s="99"/>
    </row>
    <row r="29" ht="26.25" customHeight="1">
      <c r="B29" s="99"/>
      <c r="C29" s="93" t="b">
        <v>0</v>
      </c>
      <c r="D29" s="77"/>
      <c r="E29" s="101"/>
      <c r="F29" s="89" t="str">
        <f t="shared" si="4"/>
        <v/>
      </c>
      <c r="G29" s="92"/>
      <c r="H29" s="103"/>
      <c r="I29" s="92"/>
      <c r="J29" s="93" t="b">
        <v>0</v>
      </c>
      <c r="K29" s="89"/>
      <c r="L29" s="89"/>
      <c r="M29" s="95"/>
      <c r="N29" s="95"/>
      <c r="O29" s="95"/>
      <c r="P29" s="95"/>
      <c r="Q29" s="95"/>
      <c r="R29" s="89" t="str">
        <f t="shared" si="5"/>
        <v/>
      </c>
      <c r="S29" s="89"/>
      <c r="T29" s="92"/>
      <c r="U29" s="92"/>
      <c r="V29" s="89"/>
      <c r="W29" s="92"/>
      <c r="X29" s="89"/>
      <c r="Y29" s="104"/>
      <c r="Z29" s="104"/>
      <c r="AA29" s="92"/>
      <c r="AB29" s="92"/>
      <c r="AC29" s="99"/>
      <c r="AD29" s="99"/>
    </row>
    <row r="30" ht="26.25" customHeight="1">
      <c r="B30" s="99"/>
      <c r="C30" s="93" t="b">
        <v>0</v>
      </c>
      <c r="D30" s="77"/>
      <c r="E30" s="101"/>
      <c r="F30" s="89" t="str">
        <f t="shared" si="4"/>
        <v/>
      </c>
      <c r="G30" s="92"/>
      <c r="H30" s="103"/>
      <c r="I30" s="92"/>
      <c r="J30" s="93" t="b">
        <v>0</v>
      </c>
      <c r="K30" s="89"/>
      <c r="L30" s="89"/>
      <c r="M30" s="95"/>
      <c r="N30" s="95"/>
      <c r="O30" s="95"/>
      <c r="P30" s="95"/>
      <c r="Q30" s="95"/>
      <c r="R30" s="89" t="str">
        <f t="shared" si="5"/>
        <v/>
      </c>
      <c r="S30" s="89"/>
      <c r="T30" s="92"/>
      <c r="U30" s="92"/>
      <c r="V30" s="89"/>
      <c r="W30" s="92"/>
      <c r="X30" s="89"/>
      <c r="Y30" s="104"/>
      <c r="Z30" s="104"/>
      <c r="AA30" s="92"/>
      <c r="AB30" s="92"/>
      <c r="AC30" s="99"/>
      <c r="AD30" s="99"/>
    </row>
    <row r="31" ht="26.25" customHeight="1">
      <c r="B31" s="95"/>
      <c r="C31" s="95"/>
      <c r="D31" s="77"/>
      <c r="E31" s="101"/>
      <c r="F31" s="89" t="str">
        <f t="shared" si="4"/>
        <v/>
      </c>
      <c r="G31" s="92"/>
      <c r="H31" s="103"/>
      <c r="I31" s="92"/>
      <c r="J31" s="93" t="b">
        <v>0</v>
      </c>
      <c r="K31" s="89"/>
      <c r="L31" s="89"/>
      <c r="M31" s="95"/>
      <c r="N31" s="95"/>
      <c r="O31" s="95"/>
      <c r="P31" s="95"/>
      <c r="Q31" s="95"/>
      <c r="R31" s="89" t="str">
        <f t="shared" si="5"/>
        <v/>
      </c>
      <c r="S31" s="89"/>
      <c r="T31" s="92"/>
      <c r="U31" s="92"/>
      <c r="V31" s="89"/>
      <c r="W31" s="92"/>
      <c r="X31" s="89"/>
      <c r="Y31" s="104"/>
      <c r="Z31" s="104"/>
      <c r="AA31" s="92"/>
      <c r="AB31" s="92"/>
      <c r="AC31" s="99"/>
      <c r="AD31" s="99"/>
    </row>
    <row r="32" ht="26.25" customHeight="1">
      <c r="B32" s="95"/>
      <c r="C32" s="95"/>
      <c r="D32" s="77"/>
      <c r="E32" s="101"/>
      <c r="F32" s="89" t="str">
        <f t="shared" si="4"/>
        <v/>
      </c>
      <c r="G32" s="92"/>
      <c r="H32" s="103"/>
      <c r="I32" s="92"/>
      <c r="J32" s="93" t="b">
        <v>0</v>
      </c>
      <c r="K32" s="89"/>
      <c r="L32" s="89"/>
      <c r="M32" s="95"/>
      <c r="N32" s="95"/>
      <c r="O32" s="95"/>
      <c r="P32" s="95"/>
      <c r="Q32" s="95"/>
      <c r="R32" s="89" t="str">
        <f t="shared" si="5"/>
        <v/>
      </c>
      <c r="S32" s="89"/>
      <c r="T32" s="92"/>
      <c r="U32" s="92"/>
      <c r="V32" s="89"/>
      <c r="W32" s="92"/>
      <c r="X32" s="89"/>
      <c r="Y32" s="104"/>
      <c r="Z32" s="104"/>
      <c r="AA32" s="92"/>
      <c r="AB32" s="92"/>
      <c r="AC32" s="99"/>
      <c r="AD32" s="99"/>
    </row>
    <row r="33" ht="26.25" customHeight="1">
      <c r="B33" s="95"/>
      <c r="C33" s="95"/>
      <c r="D33" s="77"/>
      <c r="E33" s="101"/>
      <c r="F33" s="89" t="str">
        <f t="shared" si="4"/>
        <v/>
      </c>
      <c r="G33" s="92"/>
      <c r="H33" s="103"/>
      <c r="I33" s="92"/>
      <c r="J33" s="93" t="b">
        <v>0</v>
      </c>
      <c r="K33" s="89"/>
      <c r="L33" s="89"/>
      <c r="M33" s="95"/>
      <c r="N33" s="95"/>
      <c r="O33" s="95"/>
      <c r="P33" s="95"/>
      <c r="Q33" s="95"/>
      <c r="R33" s="89" t="str">
        <f t="shared" si="5"/>
        <v/>
      </c>
      <c r="S33" s="89"/>
      <c r="T33" s="92"/>
      <c r="U33" s="92"/>
      <c r="V33" s="89"/>
      <c r="W33" s="92"/>
      <c r="X33" s="89"/>
      <c r="Y33" s="104"/>
      <c r="Z33" s="104"/>
      <c r="AA33" s="92"/>
      <c r="AB33" s="92"/>
      <c r="AC33" s="99"/>
      <c r="AD33" s="99"/>
    </row>
    <row r="34" ht="26.25" customHeight="1">
      <c r="B34" s="95"/>
      <c r="C34" s="95"/>
      <c r="D34" s="77"/>
      <c r="E34" s="101"/>
      <c r="F34" s="89" t="str">
        <f t="shared" si="4"/>
        <v/>
      </c>
      <c r="G34" s="92"/>
      <c r="H34" s="103"/>
      <c r="I34" s="92"/>
      <c r="J34" s="93" t="b">
        <v>0</v>
      </c>
      <c r="K34" s="89"/>
      <c r="L34" s="89"/>
      <c r="M34" s="95"/>
      <c r="N34" s="95"/>
      <c r="O34" s="95"/>
      <c r="P34" s="95"/>
      <c r="Q34" s="95"/>
      <c r="R34" s="89" t="str">
        <f t="shared" si="5"/>
        <v/>
      </c>
      <c r="S34" s="89"/>
      <c r="T34" s="92"/>
      <c r="U34" s="92"/>
      <c r="V34" s="89"/>
      <c r="W34" s="92"/>
      <c r="X34" s="89"/>
      <c r="Y34" s="104"/>
      <c r="Z34" s="104"/>
      <c r="AA34" s="92"/>
      <c r="AB34" s="92"/>
      <c r="AC34" s="99"/>
      <c r="AD34" s="99"/>
    </row>
    <row r="35" ht="26.25" customHeight="1">
      <c r="B35" s="95"/>
      <c r="C35" s="95"/>
      <c r="D35" s="77"/>
      <c r="E35" s="101"/>
      <c r="F35" s="89" t="str">
        <f t="shared" si="4"/>
        <v/>
      </c>
      <c r="G35" s="92"/>
      <c r="H35" s="103"/>
      <c r="I35" s="92"/>
      <c r="J35" s="93" t="b">
        <v>0</v>
      </c>
      <c r="K35" s="89"/>
      <c r="L35" s="89"/>
      <c r="M35" s="95"/>
      <c r="N35" s="95"/>
      <c r="O35" s="95"/>
      <c r="P35" s="95"/>
      <c r="Q35" s="95"/>
      <c r="R35" s="89" t="str">
        <f t="shared" si="5"/>
        <v/>
      </c>
      <c r="S35" s="89"/>
      <c r="T35" s="92"/>
      <c r="U35" s="92"/>
      <c r="V35" s="89"/>
      <c r="W35" s="92"/>
      <c r="X35" s="89"/>
      <c r="Y35" s="104"/>
      <c r="Z35" s="104"/>
      <c r="AA35" s="92"/>
      <c r="AB35" s="92"/>
      <c r="AC35" s="99"/>
      <c r="AD35" s="99"/>
    </row>
    <row r="36" ht="26.25" customHeight="1">
      <c r="B36" s="95"/>
      <c r="C36" s="95"/>
      <c r="D36" s="77"/>
      <c r="E36" s="101"/>
      <c r="F36" s="89" t="str">
        <f t="shared" si="4"/>
        <v/>
      </c>
      <c r="G36" s="92"/>
      <c r="H36" s="103"/>
      <c r="I36" s="92"/>
      <c r="J36" s="93" t="b">
        <v>0</v>
      </c>
      <c r="K36" s="89"/>
      <c r="L36" s="89"/>
      <c r="M36" s="95"/>
      <c r="N36" s="95"/>
      <c r="O36" s="95"/>
      <c r="P36" s="95"/>
      <c r="Q36" s="95"/>
      <c r="R36" s="89" t="str">
        <f t="shared" si="5"/>
        <v/>
      </c>
      <c r="S36" s="89"/>
      <c r="T36" s="92"/>
      <c r="U36" s="92"/>
      <c r="V36" s="89"/>
      <c r="W36" s="92"/>
      <c r="X36" s="89"/>
      <c r="Y36" s="104"/>
      <c r="Z36" s="104"/>
      <c r="AA36" s="92"/>
      <c r="AB36" s="92"/>
      <c r="AC36" s="99"/>
      <c r="AD36" s="99"/>
    </row>
    <row r="37" ht="26.25" customHeight="1">
      <c r="B37" s="95"/>
      <c r="C37" s="95"/>
      <c r="D37" s="77"/>
      <c r="E37" s="101"/>
      <c r="F37" s="89" t="str">
        <f t="shared" si="4"/>
        <v/>
      </c>
      <c r="G37" s="92"/>
      <c r="H37" s="103"/>
      <c r="I37" s="92"/>
      <c r="J37" s="93" t="b">
        <v>0</v>
      </c>
      <c r="K37" s="89"/>
      <c r="L37" s="89"/>
      <c r="M37" s="95"/>
      <c r="N37" s="95"/>
      <c r="O37" s="95"/>
      <c r="P37" s="95"/>
      <c r="Q37" s="95"/>
      <c r="R37" s="89" t="str">
        <f t="shared" si="5"/>
        <v/>
      </c>
      <c r="S37" s="89"/>
      <c r="T37" s="92"/>
      <c r="U37" s="92"/>
      <c r="V37" s="89"/>
      <c r="W37" s="92"/>
      <c r="X37" s="89"/>
      <c r="Y37" s="104"/>
      <c r="Z37" s="104"/>
      <c r="AA37" s="92"/>
      <c r="AB37" s="92"/>
      <c r="AC37" s="99"/>
      <c r="AD37" s="99"/>
    </row>
    <row r="38" ht="26.25" customHeight="1">
      <c r="B38" s="95"/>
      <c r="C38" s="95"/>
      <c r="D38" s="77"/>
      <c r="E38" s="101"/>
      <c r="F38" s="89" t="str">
        <f t="shared" si="4"/>
        <v/>
      </c>
      <c r="G38" s="92"/>
      <c r="H38" s="103"/>
      <c r="I38" s="92"/>
      <c r="J38" s="93" t="b">
        <v>0</v>
      </c>
      <c r="K38" s="89"/>
      <c r="L38" s="89"/>
      <c r="M38" s="95"/>
      <c r="N38" s="95"/>
      <c r="O38" s="95"/>
      <c r="P38" s="95"/>
      <c r="Q38" s="95"/>
      <c r="R38" s="89" t="str">
        <f t="shared" si="5"/>
        <v/>
      </c>
      <c r="S38" s="89"/>
      <c r="T38" s="92"/>
      <c r="U38" s="92"/>
      <c r="V38" s="89"/>
      <c r="W38" s="92"/>
      <c r="X38" s="89"/>
      <c r="Y38" s="104"/>
      <c r="Z38" s="104"/>
      <c r="AA38" s="92"/>
      <c r="AB38" s="92"/>
      <c r="AC38" s="99"/>
      <c r="AD38" s="99"/>
    </row>
    <row r="39" ht="26.25" customHeight="1">
      <c r="B39" s="95"/>
      <c r="C39" s="95"/>
      <c r="D39" s="77"/>
      <c r="E39" s="101"/>
      <c r="F39" s="89" t="str">
        <f t="shared" si="4"/>
        <v/>
      </c>
      <c r="G39" s="92"/>
      <c r="H39" s="103"/>
      <c r="I39" s="92"/>
      <c r="J39" s="93" t="b">
        <v>0</v>
      </c>
      <c r="K39" s="89"/>
      <c r="L39" s="89"/>
      <c r="M39" s="95"/>
      <c r="N39" s="95"/>
      <c r="O39" s="95"/>
      <c r="P39" s="95"/>
      <c r="Q39" s="95"/>
      <c r="R39" s="89" t="str">
        <f t="shared" si="5"/>
        <v/>
      </c>
      <c r="S39" s="89"/>
      <c r="T39" s="92"/>
      <c r="U39" s="92"/>
      <c r="V39" s="89"/>
      <c r="W39" s="92"/>
      <c r="X39" s="89"/>
      <c r="Y39" s="104"/>
      <c r="Z39" s="104"/>
      <c r="AA39" s="92"/>
      <c r="AB39" s="92"/>
      <c r="AC39" s="99"/>
      <c r="AD39" s="99"/>
    </row>
    <row r="40" ht="26.25" customHeight="1">
      <c r="B40" s="95"/>
      <c r="C40" s="95"/>
      <c r="D40" s="77"/>
      <c r="E40" s="101"/>
      <c r="F40" s="89" t="str">
        <f t="shared" si="4"/>
        <v/>
      </c>
      <c r="G40" s="92"/>
      <c r="H40" s="103"/>
      <c r="I40" s="92"/>
      <c r="J40" s="93" t="b">
        <v>0</v>
      </c>
      <c r="K40" s="89"/>
      <c r="L40" s="89"/>
      <c r="M40" s="95"/>
      <c r="N40" s="95"/>
      <c r="O40" s="95"/>
      <c r="P40" s="95"/>
      <c r="Q40" s="95"/>
      <c r="R40" s="89" t="str">
        <f t="shared" si="5"/>
        <v/>
      </c>
      <c r="S40" s="89"/>
      <c r="T40" s="92"/>
      <c r="U40" s="92"/>
      <c r="V40" s="89"/>
      <c r="W40" s="92"/>
      <c r="X40" s="89"/>
      <c r="Y40" s="104"/>
      <c r="Z40" s="104"/>
      <c r="AA40" s="92"/>
      <c r="AB40" s="92"/>
      <c r="AC40" s="99"/>
      <c r="AD40" s="99"/>
    </row>
    <row r="41" ht="26.25" customHeight="1">
      <c r="B41" s="95"/>
      <c r="C41" s="95"/>
      <c r="D41" s="77"/>
      <c r="E41" s="101"/>
      <c r="F41" s="89" t="str">
        <f t="shared" si="4"/>
        <v/>
      </c>
      <c r="G41" s="92"/>
      <c r="H41" s="103"/>
      <c r="I41" s="92"/>
      <c r="J41" s="93" t="b">
        <v>0</v>
      </c>
      <c r="K41" s="89"/>
      <c r="L41" s="89"/>
      <c r="M41" s="95"/>
      <c r="N41" s="95"/>
      <c r="O41" s="95"/>
      <c r="P41" s="95"/>
      <c r="Q41" s="95"/>
      <c r="R41" s="89" t="str">
        <f t="shared" si="5"/>
        <v/>
      </c>
      <c r="S41" s="89"/>
      <c r="T41" s="92"/>
      <c r="U41" s="92"/>
      <c r="V41" s="89"/>
      <c r="W41" s="92"/>
      <c r="X41" s="89"/>
      <c r="Y41" s="104"/>
      <c r="Z41" s="104"/>
      <c r="AA41" s="92"/>
      <c r="AB41" s="92"/>
      <c r="AC41" s="99"/>
      <c r="AD41" s="99"/>
    </row>
    <row r="42" ht="26.25" customHeight="1">
      <c r="B42" s="95"/>
      <c r="C42" s="95"/>
      <c r="D42" s="77"/>
      <c r="E42" s="101"/>
      <c r="F42" s="89" t="str">
        <f t="shared" si="4"/>
        <v/>
      </c>
      <c r="G42" s="92"/>
      <c r="H42" s="103"/>
      <c r="I42" s="92"/>
      <c r="J42" s="93" t="b">
        <v>0</v>
      </c>
      <c r="K42" s="89"/>
      <c r="L42" s="89"/>
      <c r="M42" s="95"/>
      <c r="N42" s="95"/>
      <c r="O42" s="95"/>
      <c r="P42" s="95"/>
      <c r="Q42" s="95"/>
      <c r="R42" s="89" t="str">
        <f t="shared" si="5"/>
        <v/>
      </c>
      <c r="S42" s="89"/>
      <c r="T42" s="92"/>
      <c r="U42" s="92"/>
      <c r="V42" s="89"/>
      <c r="W42" s="92"/>
      <c r="X42" s="89"/>
      <c r="Y42" s="104"/>
      <c r="Z42" s="104"/>
      <c r="AA42" s="92"/>
      <c r="AB42" s="92"/>
      <c r="AC42" s="99"/>
      <c r="AD42" s="99"/>
    </row>
    <row r="43" ht="26.25" customHeight="1">
      <c r="B43" s="95"/>
      <c r="C43" s="95"/>
      <c r="D43" s="77"/>
      <c r="E43" s="101"/>
      <c r="F43" s="89" t="str">
        <f t="shared" si="4"/>
        <v/>
      </c>
      <c r="G43" s="92"/>
      <c r="H43" s="103"/>
      <c r="I43" s="92"/>
      <c r="J43" s="93" t="b">
        <v>0</v>
      </c>
      <c r="K43" s="89"/>
      <c r="L43" s="89"/>
      <c r="M43" s="95"/>
      <c r="N43" s="95"/>
      <c r="O43" s="95"/>
      <c r="P43" s="95"/>
      <c r="Q43" s="95"/>
      <c r="R43" s="89" t="str">
        <f t="shared" si="5"/>
        <v/>
      </c>
      <c r="S43" s="89"/>
      <c r="T43" s="92"/>
      <c r="U43" s="92"/>
      <c r="V43" s="89"/>
      <c r="W43" s="92"/>
      <c r="X43" s="89"/>
      <c r="Y43" s="104"/>
      <c r="Z43" s="104"/>
      <c r="AA43" s="92"/>
      <c r="AB43" s="92"/>
      <c r="AC43" s="99"/>
      <c r="AD43" s="99"/>
    </row>
    <row r="44" ht="26.25" customHeight="1">
      <c r="B44" s="95"/>
      <c r="C44" s="95"/>
      <c r="D44" s="77"/>
      <c r="E44" s="101"/>
      <c r="F44" s="89" t="str">
        <f t="shared" si="4"/>
        <v/>
      </c>
      <c r="G44" s="92"/>
      <c r="H44" s="103"/>
      <c r="I44" s="92"/>
      <c r="J44" s="93" t="b">
        <v>0</v>
      </c>
      <c r="K44" s="89"/>
      <c r="L44" s="89"/>
      <c r="M44" s="95"/>
      <c r="N44" s="95"/>
      <c r="O44" s="95"/>
      <c r="P44" s="95"/>
      <c r="Q44" s="95"/>
      <c r="R44" s="89" t="str">
        <f t="shared" si="5"/>
        <v/>
      </c>
      <c r="S44" s="89"/>
      <c r="T44" s="92"/>
      <c r="U44" s="92"/>
      <c r="V44" s="89"/>
      <c r="W44" s="92"/>
      <c r="X44" s="89"/>
      <c r="Y44" s="104"/>
      <c r="Z44" s="104"/>
      <c r="AA44" s="92"/>
      <c r="AB44" s="92"/>
      <c r="AC44" s="99"/>
      <c r="AD44" s="99"/>
    </row>
    <row r="45" ht="26.25" customHeight="1">
      <c r="B45" s="95"/>
      <c r="C45" s="95"/>
      <c r="D45" s="77"/>
      <c r="E45" s="101"/>
      <c r="F45" s="89" t="str">
        <f t="shared" si="4"/>
        <v/>
      </c>
      <c r="G45" s="92"/>
      <c r="H45" s="103"/>
      <c r="I45" s="92"/>
      <c r="J45" s="93" t="b">
        <v>0</v>
      </c>
      <c r="K45" s="89"/>
      <c r="L45" s="89"/>
      <c r="M45" s="95"/>
      <c r="N45" s="95"/>
      <c r="O45" s="95"/>
      <c r="P45" s="95"/>
      <c r="Q45" s="95"/>
      <c r="R45" s="89" t="str">
        <f t="shared" si="5"/>
        <v/>
      </c>
      <c r="S45" s="89"/>
      <c r="T45" s="92"/>
      <c r="U45" s="92"/>
      <c r="V45" s="89"/>
      <c r="W45" s="92"/>
      <c r="X45" s="89"/>
      <c r="Y45" s="104"/>
      <c r="Z45" s="104"/>
      <c r="AA45" s="92"/>
      <c r="AB45" s="92"/>
      <c r="AC45" s="99"/>
      <c r="AD45" s="99"/>
    </row>
    <row r="46" ht="26.25" customHeight="1">
      <c r="B46" s="95"/>
      <c r="C46" s="95"/>
      <c r="D46" s="77"/>
      <c r="E46" s="101"/>
      <c r="F46" s="89" t="str">
        <f t="shared" si="4"/>
        <v/>
      </c>
      <c r="G46" s="92"/>
      <c r="H46" s="103"/>
      <c r="I46" s="92"/>
      <c r="J46" s="93" t="b">
        <v>0</v>
      </c>
      <c r="K46" s="89"/>
      <c r="L46" s="89"/>
      <c r="M46" s="95"/>
      <c r="N46" s="95"/>
      <c r="O46" s="95"/>
      <c r="P46" s="95"/>
      <c r="Q46" s="95"/>
      <c r="R46" s="89" t="str">
        <f t="shared" si="5"/>
        <v/>
      </c>
      <c r="S46" s="89"/>
      <c r="T46" s="92"/>
      <c r="U46" s="92"/>
      <c r="V46" s="89"/>
      <c r="W46" s="92"/>
      <c r="X46" s="89"/>
      <c r="Y46" s="104"/>
      <c r="Z46" s="104"/>
      <c r="AA46" s="92"/>
      <c r="AB46" s="92"/>
      <c r="AC46" s="99"/>
      <c r="AD46" s="99"/>
    </row>
    <row r="47" ht="26.25" customHeight="1">
      <c r="B47" s="95"/>
      <c r="C47" s="95"/>
      <c r="D47" s="77"/>
      <c r="E47" s="101"/>
      <c r="F47" s="89" t="str">
        <f t="shared" si="4"/>
        <v/>
      </c>
      <c r="G47" s="92"/>
      <c r="H47" s="103"/>
      <c r="I47" s="92"/>
      <c r="J47" s="93" t="b">
        <v>0</v>
      </c>
      <c r="K47" s="89"/>
      <c r="L47" s="89"/>
      <c r="M47" s="95"/>
      <c r="N47" s="95"/>
      <c r="O47" s="95"/>
      <c r="P47" s="95"/>
      <c r="Q47" s="95"/>
      <c r="R47" s="89" t="str">
        <f t="shared" si="5"/>
        <v/>
      </c>
      <c r="S47" s="89"/>
      <c r="T47" s="92"/>
      <c r="U47" s="92"/>
      <c r="V47" s="89"/>
      <c r="W47" s="92"/>
      <c r="X47" s="89"/>
      <c r="Y47" s="104"/>
      <c r="Z47" s="104"/>
      <c r="AA47" s="92"/>
      <c r="AB47" s="92"/>
      <c r="AC47" s="99"/>
      <c r="AD47" s="99"/>
    </row>
    <row r="48" ht="26.25" customHeight="1">
      <c r="B48" s="95"/>
      <c r="C48" s="95"/>
      <c r="D48" s="77"/>
      <c r="E48" s="101"/>
      <c r="F48" s="89" t="str">
        <f t="shared" si="4"/>
        <v/>
      </c>
      <c r="G48" s="92"/>
      <c r="H48" s="103"/>
      <c r="I48" s="92"/>
      <c r="J48" s="93" t="b">
        <v>0</v>
      </c>
      <c r="K48" s="89"/>
      <c r="L48" s="89"/>
      <c r="M48" s="95"/>
      <c r="N48" s="95"/>
      <c r="O48" s="95"/>
      <c r="P48" s="95"/>
      <c r="Q48" s="95"/>
      <c r="R48" s="89" t="str">
        <f t="shared" si="5"/>
        <v/>
      </c>
      <c r="S48" s="89"/>
      <c r="T48" s="92"/>
      <c r="U48" s="92"/>
      <c r="V48" s="89"/>
      <c r="W48" s="92"/>
      <c r="X48" s="89"/>
      <c r="Y48" s="104"/>
      <c r="Z48" s="104"/>
      <c r="AA48" s="92"/>
      <c r="AB48" s="92"/>
      <c r="AC48" s="99"/>
      <c r="AD48" s="99"/>
    </row>
    <row r="49" ht="26.25" customHeight="1">
      <c r="B49" s="95"/>
      <c r="C49" s="95"/>
      <c r="D49" s="77"/>
      <c r="E49" s="101"/>
      <c r="F49" s="89" t="str">
        <f t="shared" si="4"/>
        <v/>
      </c>
      <c r="G49" s="92"/>
      <c r="H49" s="103"/>
      <c r="I49" s="92"/>
      <c r="J49" s="93" t="b">
        <v>0</v>
      </c>
      <c r="K49" s="89"/>
      <c r="L49" s="89"/>
      <c r="M49" s="95"/>
      <c r="N49" s="95"/>
      <c r="O49" s="95"/>
      <c r="P49" s="95"/>
      <c r="Q49" s="95"/>
      <c r="R49" s="89" t="str">
        <f t="shared" si="5"/>
        <v/>
      </c>
      <c r="S49" s="89"/>
      <c r="T49" s="92"/>
      <c r="U49" s="92"/>
      <c r="V49" s="89"/>
      <c r="W49" s="92"/>
      <c r="X49" s="89"/>
      <c r="Y49" s="104"/>
      <c r="Z49" s="104"/>
      <c r="AA49" s="92"/>
      <c r="AB49" s="92"/>
      <c r="AC49" s="99"/>
      <c r="AD49" s="99"/>
    </row>
    <row r="50" ht="26.25" customHeight="1">
      <c r="B50" s="95"/>
      <c r="C50" s="95"/>
      <c r="D50" s="77"/>
      <c r="E50" s="101"/>
      <c r="F50" s="89" t="str">
        <f t="shared" si="4"/>
        <v/>
      </c>
      <c r="G50" s="92"/>
      <c r="H50" s="103"/>
      <c r="I50" s="92"/>
      <c r="J50" s="93" t="b">
        <v>0</v>
      </c>
      <c r="K50" s="89"/>
      <c r="L50" s="89"/>
      <c r="M50" s="95"/>
      <c r="N50" s="95"/>
      <c r="O50" s="95"/>
      <c r="P50" s="95"/>
      <c r="Q50" s="95"/>
      <c r="R50" s="89" t="str">
        <f t="shared" si="5"/>
        <v/>
      </c>
      <c r="S50" s="89"/>
      <c r="T50" s="92"/>
      <c r="U50" s="92"/>
      <c r="V50" s="89"/>
      <c r="W50" s="92"/>
      <c r="X50" s="89"/>
      <c r="Y50" s="104"/>
      <c r="Z50" s="104"/>
      <c r="AA50" s="92"/>
      <c r="AB50" s="92"/>
      <c r="AC50" s="99"/>
      <c r="AD50" s="99"/>
    </row>
    <row r="51" ht="26.25" customHeight="1">
      <c r="B51" s="95"/>
      <c r="C51" s="95"/>
      <c r="D51" s="77"/>
      <c r="E51" s="101"/>
      <c r="F51" s="89" t="str">
        <f t="shared" si="4"/>
        <v/>
      </c>
      <c r="G51" s="92"/>
      <c r="H51" s="103"/>
      <c r="I51" s="92"/>
      <c r="J51" s="93" t="b">
        <v>0</v>
      </c>
      <c r="K51" s="89"/>
      <c r="L51" s="89"/>
      <c r="M51" s="95"/>
      <c r="N51" s="95"/>
      <c r="O51" s="95"/>
      <c r="P51" s="95"/>
      <c r="Q51" s="95"/>
      <c r="R51" s="89" t="str">
        <f t="shared" si="5"/>
        <v/>
      </c>
      <c r="S51" s="89"/>
      <c r="T51" s="92"/>
      <c r="U51" s="92"/>
      <c r="V51" s="89"/>
      <c r="W51" s="92"/>
      <c r="X51" s="89"/>
      <c r="Y51" s="104"/>
      <c r="Z51" s="104"/>
      <c r="AA51" s="92"/>
      <c r="AB51" s="92"/>
      <c r="AC51" s="99"/>
      <c r="AD51" s="99"/>
    </row>
    <row r="52" ht="26.25" customHeight="1">
      <c r="B52" s="95"/>
      <c r="C52" s="95"/>
      <c r="D52" s="77"/>
      <c r="E52" s="101"/>
      <c r="F52" s="89" t="str">
        <f t="shared" si="4"/>
        <v/>
      </c>
      <c r="G52" s="92"/>
      <c r="H52" s="103"/>
      <c r="I52" s="92"/>
      <c r="J52" s="93" t="b">
        <v>0</v>
      </c>
      <c r="K52" s="89"/>
      <c r="L52" s="89"/>
      <c r="M52" s="95"/>
      <c r="N52" s="95"/>
      <c r="O52" s="95"/>
      <c r="P52" s="95"/>
      <c r="Q52" s="95"/>
      <c r="R52" s="89" t="str">
        <f t="shared" si="5"/>
        <v/>
      </c>
      <c r="S52" s="89"/>
      <c r="T52" s="92"/>
      <c r="U52" s="92"/>
      <c r="V52" s="89"/>
      <c r="W52" s="92"/>
      <c r="X52" s="89"/>
      <c r="Y52" s="104"/>
      <c r="Z52" s="104"/>
      <c r="AA52" s="92"/>
      <c r="AB52" s="92"/>
      <c r="AC52" s="99"/>
      <c r="AD52" s="99"/>
    </row>
    <row r="53" ht="26.25" customHeight="1">
      <c r="B53" s="95"/>
      <c r="C53" s="95"/>
      <c r="D53" s="77"/>
      <c r="E53" s="101"/>
      <c r="F53" s="89" t="str">
        <f t="shared" si="4"/>
        <v/>
      </c>
      <c r="G53" s="92"/>
      <c r="H53" s="103"/>
      <c r="I53" s="92"/>
      <c r="J53" s="93" t="b">
        <v>0</v>
      </c>
      <c r="K53" s="89"/>
      <c r="L53" s="89"/>
      <c r="M53" s="95"/>
      <c r="N53" s="95"/>
      <c r="O53" s="95"/>
      <c r="P53" s="95"/>
      <c r="Q53" s="95"/>
      <c r="R53" s="89" t="str">
        <f t="shared" si="5"/>
        <v/>
      </c>
      <c r="S53" s="89"/>
      <c r="T53" s="92"/>
      <c r="U53" s="92"/>
      <c r="V53" s="89"/>
      <c r="W53" s="92"/>
      <c r="X53" s="89"/>
      <c r="Y53" s="104"/>
      <c r="Z53" s="104"/>
      <c r="AA53" s="92"/>
      <c r="AB53" s="92"/>
      <c r="AC53" s="99"/>
      <c r="AD53" s="99"/>
    </row>
    <row r="54" ht="26.25" customHeight="1">
      <c r="B54" s="95"/>
      <c r="C54" s="95"/>
      <c r="D54" s="77"/>
      <c r="E54" s="101"/>
      <c r="F54" s="89" t="str">
        <f t="shared" si="4"/>
        <v/>
      </c>
      <c r="G54" s="92"/>
      <c r="H54" s="103"/>
      <c r="I54" s="92"/>
      <c r="J54" s="93" t="b">
        <v>0</v>
      </c>
      <c r="K54" s="89"/>
      <c r="L54" s="89"/>
      <c r="M54" s="95"/>
      <c r="N54" s="95"/>
      <c r="O54" s="95"/>
      <c r="P54" s="95"/>
      <c r="Q54" s="95"/>
      <c r="R54" s="89" t="str">
        <f t="shared" si="5"/>
        <v/>
      </c>
      <c r="S54" s="89"/>
      <c r="T54" s="92"/>
      <c r="U54" s="92"/>
      <c r="V54" s="89"/>
      <c r="W54" s="92"/>
      <c r="X54" s="89"/>
      <c r="Y54" s="104"/>
      <c r="Z54" s="104"/>
      <c r="AA54" s="92"/>
      <c r="AB54" s="92"/>
      <c r="AC54" s="99"/>
      <c r="AD54" s="99"/>
    </row>
    <row r="55" ht="26.25" customHeight="1">
      <c r="B55" s="95"/>
      <c r="C55" s="95"/>
      <c r="D55" s="77"/>
      <c r="E55" s="101"/>
      <c r="F55" s="89" t="str">
        <f t="shared" si="4"/>
        <v/>
      </c>
      <c r="G55" s="92"/>
      <c r="H55" s="103"/>
      <c r="I55" s="92"/>
      <c r="J55" s="93" t="b">
        <v>0</v>
      </c>
      <c r="K55" s="89"/>
      <c r="L55" s="89"/>
      <c r="M55" s="95"/>
      <c r="N55" s="95"/>
      <c r="O55" s="95"/>
      <c r="P55" s="95"/>
      <c r="Q55" s="95"/>
      <c r="R55" s="89" t="str">
        <f t="shared" si="5"/>
        <v/>
      </c>
      <c r="S55" s="89"/>
      <c r="T55" s="92"/>
      <c r="U55" s="92"/>
      <c r="V55" s="89"/>
      <c r="W55" s="92"/>
      <c r="X55" s="89"/>
      <c r="Y55" s="104"/>
      <c r="Z55" s="104"/>
      <c r="AA55" s="92"/>
      <c r="AB55" s="92"/>
      <c r="AC55" s="99"/>
      <c r="AD55" s="99"/>
    </row>
    <row r="56" ht="26.25" customHeight="1">
      <c r="B56" s="95"/>
      <c r="C56" s="95"/>
      <c r="D56" s="77"/>
      <c r="E56" s="101"/>
      <c r="F56" s="89" t="str">
        <f t="shared" si="4"/>
        <v/>
      </c>
      <c r="G56" s="92"/>
      <c r="H56" s="103"/>
      <c r="I56" s="92"/>
      <c r="J56" s="93" t="b">
        <v>0</v>
      </c>
      <c r="K56" s="89"/>
      <c r="L56" s="89"/>
      <c r="M56" s="95"/>
      <c r="N56" s="95"/>
      <c r="O56" s="95"/>
      <c r="P56" s="95"/>
      <c r="Q56" s="95"/>
      <c r="R56" s="89" t="str">
        <f t="shared" si="5"/>
        <v/>
      </c>
      <c r="S56" s="89"/>
      <c r="T56" s="92"/>
      <c r="U56" s="92"/>
      <c r="V56" s="89"/>
      <c r="W56" s="92"/>
      <c r="X56" s="89"/>
      <c r="Y56" s="104"/>
      <c r="Z56" s="104"/>
      <c r="AA56" s="92"/>
      <c r="AB56" s="92"/>
      <c r="AC56" s="99"/>
      <c r="AD56" s="99"/>
    </row>
    <row r="57" ht="26.25" customHeight="1">
      <c r="B57" s="95"/>
      <c r="C57" s="95"/>
      <c r="D57" s="77"/>
      <c r="E57" s="101"/>
      <c r="F57" s="89" t="str">
        <f t="shared" si="4"/>
        <v/>
      </c>
      <c r="G57" s="92"/>
      <c r="H57" s="103"/>
      <c r="I57" s="92"/>
      <c r="J57" s="93" t="b">
        <v>0</v>
      </c>
      <c r="K57" s="89"/>
      <c r="L57" s="89"/>
      <c r="M57" s="95"/>
      <c r="N57" s="95"/>
      <c r="O57" s="95"/>
      <c r="P57" s="95"/>
      <c r="Q57" s="95"/>
      <c r="R57" s="89" t="str">
        <f t="shared" si="5"/>
        <v/>
      </c>
      <c r="S57" s="89"/>
      <c r="T57" s="92"/>
      <c r="U57" s="92"/>
      <c r="V57" s="89"/>
      <c r="W57" s="92"/>
      <c r="X57" s="89"/>
      <c r="Y57" s="104"/>
      <c r="Z57" s="104"/>
      <c r="AA57" s="92"/>
      <c r="AB57" s="92"/>
      <c r="AC57" s="99"/>
      <c r="AD57" s="99"/>
    </row>
    <row r="58" ht="26.25" customHeight="1">
      <c r="B58" s="95"/>
      <c r="C58" s="95"/>
      <c r="D58" s="77"/>
      <c r="E58" s="101"/>
      <c r="F58" s="89" t="str">
        <f t="shared" si="4"/>
        <v/>
      </c>
      <c r="G58" s="92"/>
      <c r="H58" s="103"/>
      <c r="I58" s="92"/>
      <c r="J58" s="93" t="b">
        <v>0</v>
      </c>
      <c r="K58" s="89"/>
      <c r="L58" s="89"/>
      <c r="M58" s="95"/>
      <c r="N58" s="95"/>
      <c r="O58" s="95"/>
      <c r="P58" s="95"/>
      <c r="Q58" s="95"/>
      <c r="R58" s="89" t="str">
        <f t="shared" si="5"/>
        <v/>
      </c>
      <c r="S58" s="89"/>
      <c r="T58" s="92"/>
      <c r="U58" s="92"/>
      <c r="V58" s="89"/>
      <c r="W58" s="92"/>
      <c r="X58" s="89"/>
      <c r="Y58" s="104"/>
      <c r="Z58" s="104"/>
      <c r="AA58" s="92"/>
      <c r="AB58" s="92"/>
      <c r="AC58" s="99"/>
      <c r="AD58" s="99"/>
    </row>
    <row r="59" ht="26.25" customHeight="1">
      <c r="B59" s="95"/>
      <c r="C59" s="95"/>
      <c r="D59" s="77"/>
      <c r="E59" s="101"/>
      <c r="F59" s="89" t="str">
        <f t="shared" si="4"/>
        <v/>
      </c>
      <c r="G59" s="92"/>
      <c r="H59" s="103"/>
      <c r="I59" s="92"/>
      <c r="J59" s="93" t="b">
        <v>0</v>
      </c>
      <c r="K59" s="89"/>
      <c r="L59" s="89"/>
      <c r="M59" s="95"/>
      <c r="N59" s="95"/>
      <c r="O59" s="95"/>
      <c r="P59" s="95"/>
      <c r="Q59" s="95"/>
      <c r="R59" s="89" t="str">
        <f t="shared" si="5"/>
        <v/>
      </c>
      <c r="S59" s="89"/>
      <c r="T59" s="92"/>
      <c r="U59" s="92"/>
      <c r="V59" s="89"/>
      <c r="W59" s="92"/>
      <c r="X59" s="89"/>
      <c r="Y59" s="104"/>
      <c r="Z59" s="104"/>
      <c r="AA59" s="92"/>
      <c r="AB59" s="92"/>
      <c r="AC59" s="99"/>
      <c r="AD59" s="99"/>
    </row>
    <row r="60" ht="26.25" customHeight="1">
      <c r="B60" s="95"/>
      <c r="C60" s="95"/>
      <c r="D60" s="77"/>
      <c r="E60" s="101"/>
      <c r="F60" s="89" t="str">
        <f t="shared" si="4"/>
        <v/>
      </c>
      <c r="G60" s="92"/>
      <c r="H60" s="103"/>
      <c r="I60" s="92"/>
      <c r="J60" s="93" t="b">
        <v>0</v>
      </c>
      <c r="K60" s="89"/>
      <c r="L60" s="89"/>
      <c r="M60" s="95"/>
      <c r="N60" s="95"/>
      <c r="O60" s="95"/>
      <c r="P60" s="95"/>
      <c r="Q60" s="95"/>
      <c r="R60" s="89" t="str">
        <f t="shared" si="5"/>
        <v/>
      </c>
      <c r="S60" s="89"/>
      <c r="T60" s="92"/>
      <c r="U60" s="92"/>
      <c r="V60" s="89"/>
      <c r="W60" s="92"/>
      <c r="X60" s="89"/>
      <c r="Y60" s="104"/>
      <c r="Z60" s="104"/>
      <c r="AA60" s="92"/>
      <c r="AB60" s="92"/>
      <c r="AC60" s="99"/>
      <c r="AD60" s="99"/>
    </row>
    <row r="61" ht="26.25" customHeight="1">
      <c r="B61" s="95"/>
      <c r="C61" s="95"/>
      <c r="D61" s="77"/>
      <c r="E61" s="101"/>
      <c r="F61" s="89" t="str">
        <f t="shared" si="4"/>
        <v/>
      </c>
      <c r="G61" s="92"/>
      <c r="H61" s="103"/>
      <c r="I61" s="92"/>
      <c r="J61" s="93" t="b">
        <v>0</v>
      </c>
      <c r="K61" s="89"/>
      <c r="L61" s="89"/>
      <c r="M61" s="95"/>
      <c r="N61" s="95"/>
      <c r="O61" s="95"/>
      <c r="P61" s="95"/>
      <c r="Q61" s="95"/>
      <c r="R61" s="89" t="str">
        <f t="shared" si="5"/>
        <v/>
      </c>
      <c r="S61" s="89"/>
      <c r="T61" s="92"/>
      <c r="U61" s="92"/>
      <c r="V61" s="89"/>
      <c r="W61" s="92"/>
      <c r="X61" s="89"/>
      <c r="Y61" s="104"/>
      <c r="Z61" s="104"/>
      <c r="AA61" s="92"/>
      <c r="AB61" s="92"/>
      <c r="AC61" s="99"/>
      <c r="AD61" s="99"/>
    </row>
    <row r="62" ht="26.25" customHeight="1">
      <c r="B62" s="95"/>
      <c r="C62" s="95"/>
      <c r="D62" s="77"/>
      <c r="E62" s="101"/>
      <c r="F62" s="89" t="str">
        <f t="shared" si="4"/>
        <v/>
      </c>
      <c r="G62" s="92"/>
      <c r="H62" s="103"/>
      <c r="I62" s="92"/>
      <c r="J62" s="93" t="b">
        <v>0</v>
      </c>
      <c r="K62" s="89"/>
      <c r="L62" s="89"/>
      <c r="M62" s="95"/>
      <c r="N62" s="95"/>
      <c r="O62" s="95"/>
      <c r="P62" s="95"/>
      <c r="Q62" s="95"/>
      <c r="R62" s="89" t="str">
        <f t="shared" si="5"/>
        <v/>
      </c>
      <c r="S62" s="89"/>
      <c r="T62" s="92"/>
      <c r="U62" s="92"/>
      <c r="V62" s="89"/>
      <c r="W62" s="92"/>
      <c r="X62" s="89"/>
      <c r="Y62" s="104"/>
      <c r="Z62" s="104"/>
      <c r="AA62" s="92"/>
      <c r="AB62" s="92"/>
      <c r="AC62" s="99"/>
      <c r="AD62" s="99"/>
    </row>
    <row r="63" ht="26.25" customHeight="1">
      <c r="B63" s="95"/>
      <c r="C63" s="95"/>
      <c r="D63" s="77"/>
      <c r="E63" s="101"/>
      <c r="F63" s="89" t="str">
        <f t="shared" si="4"/>
        <v/>
      </c>
      <c r="G63" s="92"/>
      <c r="H63" s="103"/>
      <c r="I63" s="92"/>
      <c r="J63" s="93" t="b">
        <v>0</v>
      </c>
      <c r="K63" s="89"/>
      <c r="L63" s="89"/>
      <c r="M63" s="95"/>
      <c r="N63" s="95"/>
      <c r="O63" s="95"/>
      <c r="P63" s="95"/>
      <c r="Q63" s="95"/>
      <c r="R63" s="89" t="str">
        <f t="shared" si="5"/>
        <v/>
      </c>
      <c r="S63" s="89"/>
      <c r="T63" s="92"/>
      <c r="U63" s="92"/>
      <c r="V63" s="89"/>
      <c r="W63" s="92"/>
      <c r="X63" s="89"/>
      <c r="Y63" s="104"/>
      <c r="Z63" s="104"/>
      <c r="AA63" s="92"/>
      <c r="AB63" s="92"/>
      <c r="AC63" s="99"/>
      <c r="AD63" s="99"/>
    </row>
    <row r="64" ht="26.25" customHeight="1">
      <c r="B64" s="95"/>
      <c r="C64" s="95"/>
      <c r="D64" s="77"/>
      <c r="E64" s="101"/>
      <c r="F64" s="89" t="str">
        <f t="shared" si="4"/>
        <v/>
      </c>
      <c r="G64" s="92"/>
      <c r="H64" s="103"/>
      <c r="I64" s="92"/>
      <c r="J64" s="93" t="b">
        <v>0</v>
      </c>
      <c r="K64" s="89"/>
      <c r="L64" s="89"/>
      <c r="M64" s="95"/>
      <c r="N64" s="95"/>
      <c r="O64" s="95"/>
      <c r="P64" s="95"/>
      <c r="Q64" s="95"/>
      <c r="R64" s="89" t="str">
        <f t="shared" si="5"/>
        <v/>
      </c>
      <c r="S64" s="89"/>
      <c r="T64" s="92"/>
      <c r="U64" s="92"/>
      <c r="V64" s="89"/>
      <c r="W64" s="92"/>
      <c r="X64" s="89"/>
      <c r="Y64" s="104"/>
      <c r="Z64" s="104"/>
      <c r="AA64" s="92"/>
      <c r="AB64" s="92"/>
      <c r="AC64" s="99"/>
      <c r="AD64" s="99"/>
    </row>
    <row r="65" ht="26.25" customHeight="1">
      <c r="B65" s="95"/>
      <c r="C65" s="95"/>
      <c r="D65" s="77"/>
      <c r="E65" s="101"/>
      <c r="F65" s="89" t="str">
        <f t="shared" si="4"/>
        <v/>
      </c>
      <c r="G65" s="92"/>
      <c r="H65" s="103"/>
      <c r="I65" s="92"/>
      <c r="J65" s="93" t="b">
        <v>0</v>
      </c>
      <c r="K65" s="89"/>
      <c r="L65" s="89"/>
      <c r="M65" s="95"/>
      <c r="N65" s="95"/>
      <c r="O65" s="95"/>
      <c r="P65" s="95"/>
      <c r="Q65" s="95"/>
      <c r="R65" s="89" t="str">
        <f t="shared" si="5"/>
        <v/>
      </c>
      <c r="S65" s="89"/>
      <c r="T65" s="92"/>
      <c r="U65" s="92"/>
      <c r="V65" s="89"/>
      <c r="W65" s="92"/>
      <c r="X65" s="89"/>
      <c r="Y65" s="104"/>
      <c r="Z65" s="104"/>
      <c r="AA65" s="92"/>
      <c r="AB65" s="92"/>
      <c r="AC65" s="99"/>
      <c r="AD65" s="99"/>
    </row>
    <row r="66" ht="26.25" customHeight="1">
      <c r="B66" s="95"/>
      <c r="C66" s="95"/>
      <c r="D66" s="77"/>
      <c r="E66" s="101"/>
      <c r="F66" s="89" t="str">
        <f t="shared" si="4"/>
        <v/>
      </c>
      <c r="G66" s="92"/>
      <c r="H66" s="103"/>
      <c r="I66" s="92"/>
      <c r="J66" s="93" t="b">
        <v>0</v>
      </c>
      <c r="K66" s="89"/>
      <c r="L66" s="89"/>
      <c r="M66" s="95"/>
      <c r="N66" s="95"/>
      <c r="O66" s="95"/>
      <c r="P66" s="95"/>
      <c r="Q66" s="95"/>
      <c r="R66" s="89" t="str">
        <f t="shared" si="5"/>
        <v/>
      </c>
      <c r="S66" s="89"/>
      <c r="T66" s="92"/>
      <c r="U66" s="92"/>
      <c r="V66" s="89"/>
      <c r="W66" s="92"/>
      <c r="X66" s="89"/>
      <c r="Y66" s="104"/>
      <c r="Z66" s="104"/>
      <c r="AA66" s="92"/>
      <c r="AB66" s="92"/>
      <c r="AC66" s="99"/>
      <c r="AD66" s="99"/>
    </row>
    <row r="67" ht="26.25" customHeight="1">
      <c r="B67" s="95"/>
      <c r="C67" s="95"/>
      <c r="D67" s="77"/>
      <c r="E67" s="101"/>
      <c r="F67" s="89" t="str">
        <f t="shared" si="4"/>
        <v/>
      </c>
      <c r="G67" s="92"/>
      <c r="H67" s="103"/>
      <c r="I67" s="92"/>
      <c r="J67" s="93" t="b">
        <v>0</v>
      </c>
      <c r="K67" s="89"/>
      <c r="L67" s="89"/>
      <c r="M67" s="95"/>
      <c r="N67" s="95"/>
      <c r="O67" s="95"/>
      <c r="P67" s="95"/>
      <c r="Q67" s="95"/>
      <c r="R67" s="89" t="str">
        <f t="shared" si="5"/>
        <v/>
      </c>
      <c r="S67" s="89"/>
      <c r="T67" s="92"/>
      <c r="U67" s="92"/>
      <c r="V67" s="89"/>
      <c r="W67" s="92"/>
      <c r="X67" s="89"/>
      <c r="Y67" s="104"/>
      <c r="Z67" s="104"/>
      <c r="AA67" s="92"/>
      <c r="AB67" s="92"/>
      <c r="AC67" s="99"/>
      <c r="AD67" s="99"/>
    </row>
    <row r="68" ht="26.25" customHeight="1">
      <c r="B68" s="95"/>
      <c r="C68" s="95"/>
      <c r="D68" s="77"/>
      <c r="E68" s="101"/>
      <c r="F68" s="89" t="str">
        <f t="shared" si="4"/>
        <v/>
      </c>
      <c r="G68" s="92"/>
      <c r="H68" s="103"/>
      <c r="I68" s="92"/>
      <c r="J68" s="93" t="b">
        <v>0</v>
      </c>
      <c r="K68" s="89"/>
      <c r="L68" s="89"/>
      <c r="M68" s="95"/>
      <c r="N68" s="95"/>
      <c r="O68" s="95"/>
      <c r="P68" s="95"/>
      <c r="Q68" s="95"/>
      <c r="R68" s="89" t="str">
        <f t="shared" si="5"/>
        <v/>
      </c>
      <c r="S68" s="89"/>
      <c r="T68" s="92"/>
      <c r="U68" s="92"/>
      <c r="V68" s="89"/>
      <c r="W68" s="92"/>
      <c r="X68" s="89"/>
      <c r="Y68" s="104"/>
      <c r="Z68" s="104"/>
      <c r="AA68" s="92"/>
      <c r="AB68" s="92"/>
      <c r="AC68" s="99"/>
      <c r="AD68" s="99"/>
    </row>
    <row r="69" ht="26.25" customHeight="1">
      <c r="B69" s="95"/>
      <c r="C69" s="95"/>
      <c r="D69" s="77"/>
      <c r="E69" s="101"/>
      <c r="F69" s="89" t="str">
        <f t="shared" si="4"/>
        <v/>
      </c>
      <c r="G69" s="92"/>
      <c r="H69" s="103"/>
      <c r="I69" s="92"/>
      <c r="J69" s="93" t="b">
        <v>0</v>
      </c>
      <c r="K69" s="89"/>
      <c r="L69" s="89"/>
      <c r="M69" s="95"/>
      <c r="N69" s="95"/>
      <c r="O69" s="95"/>
      <c r="P69" s="95"/>
      <c r="Q69" s="95"/>
      <c r="R69" s="89" t="str">
        <f t="shared" si="5"/>
        <v/>
      </c>
      <c r="S69" s="89"/>
      <c r="T69" s="92"/>
      <c r="U69" s="92"/>
      <c r="V69" s="89"/>
      <c r="W69" s="92"/>
      <c r="X69" s="89"/>
      <c r="Y69" s="104"/>
      <c r="Z69" s="104"/>
      <c r="AA69" s="92"/>
      <c r="AB69" s="92"/>
      <c r="AC69" s="99"/>
      <c r="AD69" s="99"/>
    </row>
    <row r="70" ht="26.25" customHeight="1">
      <c r="B70" s="95"/>
      <c r="C70" s="95"/>
      <c r="D70" s="77"/>
      <c r="E70" s="101"/>
      <c r="F70" s="89" t="str">
        <f t="shared" ref="F70:F198" si="6">IF(G70="","",ROW()-6)</f>
        <v/>
      </c>
      <c r="G70" s="92"/>
      <c r="H70" s="103"/>
      <c r="I70" s="92"/>
      <c r="J70" s="93" t="b">
        <v>0</v>
      </c>
      <c r="K70" s="89"/>
      <c r="L70" s="89"/>
      <c r="M70" s="95"/>
      <c r="N70" s="95"/>
      <c r="O70" s="95"/>
      <c r="P70" s="95"/>
      <c r="Q70" s="95"/>
      <c r="R70" s="89" t="str">
        <f t="shared" si="5"/>
        <v/>
      </c>
      <c r="S70" s="89"/>
      <c r="T70" s="92"/>
      <c r="U70" s="92"/>
      <c r="V70" s="89"/>
      <c r="W70" s="92"/>
      <c r="X70" s="89"/>
      <c r="Y70" s="104"/>
      <c r="Z70" s="104"/>
      <c r="AA70" s="92"/>
      <c r="AB70" s="92"/>
      <c r="AC70" s="99"/>
      <c r="AD70" s="99"/>
    </row>
    <row r="71" ht="26.25" customHeight="1">
      <c r="B71" s="95"/>
      <c r="C71" s="95"/>
      <c r="D71" s="77"/>
      <c r="E71" s="101"/>
      <c r="F71" s="89" t="str">
        <f t="shared" si="6"/>
        <v/>
      </c>
      <c r="G71" s="92"/>
      <c r="H71" s="103"/>
      <c r="I71" s="92"/>
      <c r="J71" s="93" t="b">
        <v>0</v>
      </c>
      <c r="K71" s="89"/>
      <c r="L71" s="89"/>
      <c r="M71" s="95"/>
      <c r="N71" s="95"/>
      <c r="O71" s="95"/>
      <c r="P71" s="95"/>
      <c r="Q71" s="95"/>
      <c r="R71" s="89" t="str">
        <f t="shared" si="5"/>
        <v/>
      </c>
      <c r="S71" s="89"/>
      <c r="T71" s="92"/>
      <c r="U71" s="92"/>
      <c r="V71" s="89"/>
      <c r="W71" s="92"/>
      <c r="X71" s="89"/>
      <c r="Y71" s="104"/>
      <c r="Z71" s="104"/>
      <c r="AA71" s="92"/>
      <c r="AB71" s="92"/>
      <c r="AC71" s="99"/>
      <c r="AD71" s="99"/>
    </row>
    <row r="72" ht="26.25" customHeight="1">
      <c r="B72" s="95"/>
      <c r="C72" s="95"/>
      <c r="D72" s="77"/>
      <c r="E72" s="101"/>
      <c r="F72" s="89" t="str">
        <f t="shared" si="6"/>
        <v/>
      </c>
      <c r="G72" s="92"/>
      <c r="H72" s="103"/>
      <c r="I72" s="92"/>
      <c r="J72" s="93" t="b">
        <v>0</v>
      </c>
      <c r="K72" s="89"/>
      <c r="L72" s="89"/>
      <c r="M72" s="95"/>
      <c r="N72" s="95"/>
      <c r="O72" s="95"/>
      <c r="P72" s="95"/>
      <c r="Q72" s="95"/>
      <c r="R72" s="89" t="str">
        <f t="shared" si="5"/>
        <v/>
      </c>
      <c r="S72" s="89"/>
      <c r="T72" s="92"/>
      <c r="U72" s="92"/>
      <c r="V72" s="89"/>
      <c r="W72" s="92"/>
      <c r="X72" s="89"/>
      <c r="Y72" s="104"/>
      <c r="Z72" s="104"/>
      <c r="AA72" s="92"/>
      <c r="AB72" s="92"/>
      <c r="AC72" s="99"/>
      <c r="AD72" s="99"/>
    </row>
    <row r="73" ht="26.25" customHeight="1">
      <c r="B73" s="95"/>
      <c r="C73" s="95"/>
      <c r="D73" s="77"/>
      <c r="E73" s="101"/>
      <c r="F73" s="89" t="str">
        <f t="shared" si="6"/>
        <v/>
      </c>
      <c r="G73" s="92"/>
      <c r="H73" s="103"/>
      <c r="I73" s="92"/>
      <c r="J73" s="93" t="b">
        <v>0</v>
      </c>
      <c r="K73" s="89"/>
      <c r="L73" s="89"/>
      <c r="M73" s="95"/>
      <c r="N73" s="95"/>
      <c r="O73" s="95"/>
      <c r="P73" s="95"/>
      <c r="Q73" s="95"/>
      <c r="R73" s="89" t="str">
        <f t="shared" si="5"/>
        <v/>
      </c>
      <c r="S73" s="89"/>
      <c r="T73" s="92"/>
      <c r="U73" s="92"/>
      <c r="V73" s="89"/>
      <c r="W73" s="92"/>
      <c r="X73" s="89"/>
      <c r="Y73" s="104"/>
      <c r="Z73" s="104"/>
      <c r="AA73" s="92"/>
      <c r="AB73" s="92"/>
      <c r="AC73" s="99"/>
      <c r="AD73" s="99"/>
    </row>
    <row r="74" ht="26.25" customHeight="1">
      <c r="B74" s="95"/>
      <c r="C74" s="95"/>
      <c r="D74" s="77"/>
      <c r="E74" s="101"/>
      <c r="F74" s="89" t="str">
        <f t="shared" si="6"/>
        <v/>
      </c>
      <c r="G74" s="92"/>
      <c r="H74" s="103"/>
      <c r="I74" s="92"/>
      <c r="J74" s="93" t="b">
        <v>0</v>
      </c>
      <c r="K74" s="89"/>
      <c r="L74" s="89"/>
      <c r="M74" s="95"/>
      <c r="N74" s="95"/>
      <c r="O74" s="95"/>
      <c r="P74" s="95"/>
      <c r="Q74" s="95"/>
      <c r="R74" s="89" t="str">
        <f t="shared" si="5"/>
        <v/>
      </c>
      <c r="S74" s="89"/>
      <c r="T74" s="92"/>
      <c r="U74" s="92"/>
      <c r="V74" s="89"/>
      <c r="W74" s="92"/>
      <c r="X74" s="89"/>
      <c r="Y74" s="104"/>
      <c r="Z74" s="104"/>
      <c r="AA74" s="92"/>
      <c r="AB74" s="92"/>
      <c r="AC74" s="99"/>
      <c r="AD74" s="99"/>
    </row>
    <row r="75" ht="26.25" customHeight="1">
      <c r="B75" s="95"/>
      <c r="C75" s="95"/>
      <c r="D75" s="77"/>
      <c r="E75" s="101"/>
      <c r="F75" s="89" t="str">
        <f t="shared" si="6"/>
        <v/>
      </c>
      <c r="G75" s="92"/>
      <c r="H75" s="103"/>
      <c r="I75" s="92"/>
      <c r="J75" s="93" t="b">
        <v>0</v>
      </c>
      <c r="K75" s="89"/>
      <c r="L75" s="89"/>
      <c r="M75" s="95"/>
      <c r="N75" s="95"/>
      <c r="O75" s="95"/>
      <c r="P75" s="95"/>
      <c r="Q75" s="95"/>
      <c r="R75" s="89" t="str">
        <f t="shared" si="5"/>
        <v/>
      </c>
      <c r="S75" s="89"/>
      <c r="T75" s="92"/>
      <c r="U75" s="92"/>
      <c r="V75" s="89"/>
      <c r="W75" s="92"/>
      <c r="X75" s="89"/>
      <c r="Y75" s="104"/>
      <c r="Z75" s="104"/>
      <c r="AA75" s="92"/>
      <c r="AB75" s="92"/>
      <c r="AC75" s="99"/>
      <c r="AD75" s="99"/>
    </row>
    <row r="76" ht="26.25" customHeight="1">
      <c r="B76" s="95"/>
      <c r="C76" s="95"/>
      <c r="D76" s="77"/>
      <c r="E76" s="101"/>
      <c r="F76" s="89" t="str">
        <f t="shared" si="6"/>
        <v/>
      </c>
      <c r="G76" s="92"/>
      <c r="H76" s="103"/>
      <c r="I76" s="92"/>
      <c r="J76" s="93" t="b">
        <v>0</v>
      </c>
      <c r="K76" s="89"/>
      <c r="L76" s="89"/>
      <c r="M76" s="95"/>
      <c r="N76" s="95"/>
      <c r="O76" s="95"/>
      <c r="P76" s="95"/>
      <c r="Q76" s="95"/>
      <c r="R76" s="89" t="str">
        <f t="shared" si="5"/>
        <v/>
      </c>
      <c r="S76" s="89"/>
      <c r="T76" s="92"/>
      <c r="U76" s="92"/>
      <c r="V76" s="89"/>
      <c r="W76" s="92"/>
      <c r="X76" s="89"/>
      <c r="Y76" s="104"/>
      <c r="Z76" s="104"/>
      <c r="AA76" s="92"/>
      <c r="AB76" s="92"/>
      <c r="AC76" s="99"/>
      <c r="AD76" s="99"/>
    </row>
    <row r="77" ht="26.25" customHeight="1">
      <c r="B77" s="95"/>
      <c r="C77" s="95"/>
      <c r="D77" s="77"/>
      <c r="E77" s="101"/>
      <c r="F77" s="89" t="str">
        <f t="shared" si="6"/>
        <v/>
      </c>
      <c r="G77" s="92"/>
      <c r="H77" s="103"/>
      <c r="I77" s="92"/>
      <c r="J77" s="93" t="b">
        <v>0</v>
      </c>
      <c r="K77" s="89"/>
      <c r="L77" s="89"/>
      <c r="M77" s="95"/>
      <c r="N77" s="95"/>
      <c r="O77" s="95"/>
      <c r="P77" s="95"/>
      <c r="Q77" s="95"/>
      <c r="R77" s="89" t="str">
        <f t="shared" si="5"/>
        <v/>
      </c>
      <c r="S77" s="89"/>
      <c r="T77" s="92"/>
      <c r="U77" s="92"/>
      <c r="V77" s="89"/>
      <c r="W77" s="92"/>
      <c r="X77" s="89"/>
      <c r="Y77" s="104"/>
      <c r="Z77" s="104"/>
      <c r="AA77" s="92"/>
      <c r="AB77" s="92"/>
      <c r="AC77" s="99"/>
      <c r="AD77" s="99"/>
    </row>
    <row r="78" ht="26.25" customHeight="1">
      <c r="B78" s="95"/>
      <c r="C78" s="95"/>
      <c r="D78" s="77"/>
      <c r="E78" s="101"/>
      <c r="F78" s="89" t="str">
        <f t="shared" si="6"/>
        <v/>
      </c>
      <c r="G78" s="92"/>
      <c r="H78" s="103"/>
      <c r="I78" s="92"/>
      <c r="J78" s="93" t="b">
        <v>0</v>
      </c>
      <c r="K78" s="89"/>
      <c r="L78" s="89"/>
      <c r="M78" s="95"/>
      <c r="N78" s="95"/>
      <c r="O78" s="95"/>
      <c r="P78" s="95"/>
      <c r="Q78" s="95"/>
      <c r="R78" s="89" t="str">
        <f t="shared" si="5"/>
        <v/>
      </c>
      <c r="S78" s="89"/>
      <c r="T78" s="92"/>
      <c r="U78" s="92"/>
      <c r="V78" s="89"/>
      <c r="W78" s="92"/>
      <c r="X78" s="89"/>
      <c r="Y78" s="104"/>
      <c r="Z78" s="104"/>
      <c r="AA78" s="92"/>
      <c r="AB78" s="92"/>
      <c r="AC78" s="99"/>
      <c r="AD78" s="99"/>
    </row>
    <row r="79" ht="26.25" customHeight="1">
      <c r="B79" s="95"/>
      <c r="C79" s="95"/>
      <c r="D79" s="77"/>
      <c r="E79" s="101"/>
      <c r="F79" s="89" t="str">
        <f t="shared" si="6"/>
        <v/>
      </c>
      <c r="G79" s="92"/>
      <c r="H79" s="103"/>
      <c r="I79" s="92"/>
      <c r="J79" s="93" t="b">
        <v>0</v>
      </c>
      <c r="K79" s="89"/>
      <c r="L79" s="89"/>
      <c r="M79" s="95"/>
      <c r="N79" s="95"/>
      <c r="O79" s="95"/>
      <c r="P79" s="95"/>
      <c r="Q79" s="95"/>
      <c r="R79" s="89" t="str">
        <f t="shared" si="5"/>
        <v/>
      </c>
      <c r="S79" s="89"/>
      <c r="T79" s="92"/>
      <c r="U79" s="92"/>
      <c r="V79" s="89"/>
      <c r="W79" s="92"/>
      <c r="X79" s="89"/>
      <c r="Y79" s="104"/>
      <c r="Z79" s="104"/>
      <c r="AA79" s="92"/>
      <c r="AB79" s="92"/>
      <c r="AC79" s="99"/>
      <c r="AD79" s="99"/>
    </row>
    <row r="80" ht="26.25" customHeight="1">
      <c r="B80" s="95"/>
      <c r="C80" s="95"/>
      <c r="D80" s="77"/>
      <c r="E80" s="101"/>
      <c r="F80" s="89" t="str">
        <f t="shared" si="6"/>
        <v/>
      </c>
      <c r="G80" s="92"/>
      <c r="H80" s="103"/>
      <c r="I80" s="92"/>
      <c r="J80" s="93" t="b">
        <v>0</v>
      </c>
      <c r="K80" s="89"/>
      <c r="L80" s="89"/>
      <c r="M80" s="95"/>
      <c r="N80" s="95"/>
      <c r="O80" s="95"/>
      <c r="P80" s="95"/>
      <c r="Q80" s="95"/>
      <c r="R80" s="89" t="str">
        <f t="shared" si="5"/>
        <v/>
      </c>
      <c r="S80" s="89"/>
      <c r="T80" s="92"/>
      <c r="U80" s="92"/>
      <c r="V80" s="89"/>
      <c r="W80" s="92"/>
      <c r="X80" s="89"/>
      <c r="Y80" s="104"/>
      <c r="Z80" s="104"/>
      <c r="AA80" s="92"/>
      <c r="AB80" s="92"/>
      <c r="AC80" s="99"/>
      <c r="AD80" s="99"/>
    </row>
    <row r="81" ht="26.25" customHeight="1">
      <c r="B81" s="95"/>
      <c r="C81" s="95"/>
      <c r="D81" s="77"/>
      <c r="E81" s="101"/>
      <c r="F81" s="89" t="str">
        <f t="shared" si="6"/>
        <v/>
      </c>
      <c r="G81" s="92"/>
      <c r="H81" s="103"/>
      <c r="I81" s="92"/>
      <c r="J81" s="93" t="b">
        <v>0</v>
      </c>
      <c r="K81" s="89"/>
      <c r="L81" s="89"/>
      <c r="M81" s="95"/>
      <c r="N81" s="95"/>
      <c r="O81" s="95"/>
      <c r="P81" s="95"/>
      <c r="Q81" s="95"/>
      <c r="R81" s="89" t="str">
        <f t="shared" si="5"/>
        <v/>
      </c>
      <c r="S81" s="89"/>
      <c r="T81" s="92"/>
      <c r="U81" s="92"/>
      <c r="V81" s="89"/>
      <c r="W81" s="92"/>
      <c r="X81" s="89"/>
      <c r="Y81" s="104"/>
      <c r="Z81" s="104"/>
      <c r="AA81" s="92"/>
      <c r="AB81" s="92"/>
      <c r="AC81" s="99"/>
      <c r="AD81" s="99"/>
    </row>
    <row r="82" ht="26.25" customHeight="1">
      <c r="B82" s="95"/>
      <c r="C82" s="95"/>
      <c r="D82" s="77"/>
      <c r="E82" s="101"/>
      <c r="F82" s="89" t="str">
        <f t="shared" si="6"/>
        <v/>
      </c>
      <c r="G82" s="92"/>
      <c r="H82" s="103"/>
      <c r="I82" s="92"/>
      <c r="J82" s="93" t="b">
        <v>0</v>
      </c>
      <c r="K82" s="89"/>
      <c r="L82" s="89"/>
      <c r="M82" s="95"/>
      <c r="N82" s="95"/>
      <c r="O82" s="95"/>
      <c r="P82" s="95"/>
      <c r="Q82" s="95"/>
      <c r="R82" s="89" t="str">
        <f t="shared" si="5"/>
        <v/>
      </c>
      <c r="S82" s="89"/>
      <c r="T82" s="92"/>
      <c r="U82" s="92"/>
      <c r="V82" s="89"/>
      <c r="W82" s="92"/>
      <c r="X82" s="89"/>
      <c r="Y82" s="104"/>
      <c r="Z82" s="104"/>
      <c r="AA82" s="92"/>
      <c r="AB82" s="92"/>
      <c r="AC82" s="99"/>
      <c r="AD82" s="99"/>
    </row>
    <row r="83" ht="26.25" customHeight="1">
      <c r="B83" s="95"/>
      <c r="C83" s="95"/>
      <c r="D83" s="77"/>
      <c r="E83" s="101"/>
      <c r="F83" s="89" t="str">
        <f t="shared" si="6"/>
        <v/>
      </c>
      <c r="G83" s="92"/>
      <c r="H83" s="103"/>
      <c r="I83" s="92"/>
      <c r="J83" s="93" t="b">
        <v>0</v>
      </c>
      <c r="K83" s="89"/>
      <c r="L83" s="89"/>
      <c r="M83" s="95"/>
      <c r="N83" s="95"/>
      <c r="O83" s="95"/>
      <c r="P83" s="95"/>
      <c r="Q83" s="95"/>
      <c r="R83" s="89" t="str">
        <f t="shared" si="5"/>
        <v/>
      </c>
      <c r="S83" s="89"/>
      <c r="T83" s="92"/>
      <c r="U83" s="92"/>
      <c r="V83" s="89"/>
      <c r="W83" s="92"/>
      <c r="X83" s="89"/>
      <c r="Y83" s="104"/>
      <c r="Z83" s="104"/>
      <c r="AA83" s="92"/>
      <c r="AB83" s="92"/>
      <c r="AC83" s="99"/>
      <c r="AD83" s="99"/>
    </row>
    <row r="84" ht="26.25" customHeight="1">
      <c r="B84" s="95"/>
      <c r="C84" s="95"/>
      <c r="D84" s="77"/>
      <c r="E84" s="101"/>
      <c r="F84" s="89" t="str">
        <f t="shared" si="6"/>
        <v/>
      </c>
      <c r="G84" s="92"/>
      <c r="H84" s="103"/>
      <c r="I84" s="92"/>
      <c r="J84" s="93" t="b">
        <v>0</v>
      </c>
      <c r="K84" s="89"/>
      <c r="L84" s="89"/>
      <c r="M84" s="95"/>
      <c r="N84" s="95"/>
      <c r="O84" s="95"/>
      <c r="P84" s="95"/>
      <c r="Q84" s="95"/>
      <c r="R84" s="89" t="str">
        <f t="shared" si="5"/>
        <v/>
      </c>
      <c r="S84" s="89"/>
      <c r="T84" s="92"/>
      <c r="U84" s="92"/>
      <c r="V84" s="89"/>
      <c r="W84" s="92"/>
      <c r="X84" s="89"/>
      <c r="Y84" s="104"/>
      <c r="Z84" s="104"/>
      <c r="AA84" s="92"/>
      <c r="AB84" s="92"/>
      <c r="AC84" s="99"/>
      <c r="AD84" s="99"/>
    </row>
    <row r="85" ht="26.25" customHeight="1">
      <c r="B85" s="95"/>
      <c r="C85" s="95"/>
      <c r="D85" s="77"/>
      <c r="E85" s="101"/>
      <c r="F85" s="89" t="str">
        <f t="shared" si="6"/>
        <v/>
      </c>
      <c r="G85" s="92"/>
      <c r="H85" s="103"/>
      <c r="I85" s="92"/>
      <c r="J85" s="93" t="b">
        <v>0</v>
      </c>
      <c r="K85" s="89"/>
      <c r="L85" s="89"/>
      <c r="M85" s="95"/>
      <c r="N85" s="95"/>
      <c r="O85" s="95"/>
      <c r="P85" s="95"/>
      <c r="Q85" s="95"/>
      <c r="R85" s="89" t="str">
        <f t="shared" si="5"/>
        <v/>
      </c>
      <c r="S85" s="89"/>
      <c r="T85" s="92"/>
      <c r="U85" s="92"/>
      <c r="V85" s="89"/>
      <c r="W85" s="92"/>
      <c r="X85" s="89"/>
      <c r="Y85" s="104"/>
      <c r="Z85" s="104"/>
      <c r="AA85" s="92"/>
      <c r="AB85" s="92"/>
      <c r="AC85" s="99"/>
      <c r="AD85" s="99"/>
    </row>
    <row r="86" ht="26.25" customHeight="1">
      <c r="B86" s="95"/>
      <c r="C86" s="95"/>
      <c r="D86" s="77"/>
      <c r="E86" s="101"/>
      <c r="F86" s="89" t="str">
        <f t="shared" si="6"/>
        <v/>
      </c>
      <c r="G86" s="92"/>
      <c r="H86" s="103"/>
      <c r="I86" s="92"/>
      <c r="J86" s="93" t="b">
        <v>0</v>
      </c>
      <c r="K86" s="89"/>
      <c r="L86" s="89"/>
      <c r="M86" s="95"/>
      <c r="N86" s="95"/>
      <c r="O86" s="95"/>
      <c r="P86" s="95"/>
      <c r="Q86" s="95"/>
      <c r="R86" s="89" t="str">
        <f t="shared" si="5"/>
        <v/>
      </c>
      <c r="S86" s="89"/>
      <c r="T86" s="92"/>
      <c r="U86" s="92"/>
      <c r="V86" s="89"/>
      <c r="W86" s="92"/>
      <c r="X86" s="89"/>
      <c r="Y86" s="104"/>
      <c r="Z86" s="104"/>
      <c r="AA86" s="92"/>
      <c r="AB86" s="92"/>
      <c r="AC86" s="99"/>
      <c r="AD86" s="99"/>
    </row>
    <row r="87" ht="26.25" customHeight="1">
      <c r="B87" s="95"/>
      <c r="C87" s="95"/>
      <c r="D87" s="77"/>
      <c r="E87" s="101"/>
      <c r="F87" s="89" t="str">
        <f t="shared" si="6"/>
        <v/>
      </c>
      <c r="G87" s="92"/>
      <c r="H87" s="103"/>
      <c r="I87" s="92"/>
      <c r="J87" s="93" t="b">
        <v>0</v>
      </c>
      <c r="K87" s="89"/>
      <c r="L87" s="89"/>
      <c r="M87" s="95"/>
      <c r="N87" s="95"/>
      <c r="O87" s="95"/>
      <c r="P87" s="95"/>
      <c r="Q87" s="95"/>
      <c r="R87" s="89" t="str">
        <f t="shared" si="5"/>
        <v/>
      </c>
      <c r="S87" s="89"/>
      <c r="T87" s="92"/>
      <c r="U87" s="92"/>
      <c r="V87" s="89"/>
      <c r="W87" s="92"/>
      <c r="X87" s="89"/>
      <c r="Y87" s="104"/>
      <c r="Z87" s="104"/>
      <c r="AA87" s="92"/>
      <c r="AB87" s="92"/>
      <c r="AC87" s="99"/>
      <c r="AD87" s="99"/>
    </row>
    <row r="88" ht="26.25" customHeight="1">
      <c r="B88" s="95"/>
      <c r="C88" s="95"/>
      <c r="D88" s="77"/>
      <c r="E88" s="101"/>
      <c r="F88" s="89" t="str">
        <f t="shared" si="6"/>
        <v/>
      </c>
      <c r="G88" s="92"/>
      <c r="H88" s="103"/>
      <c r="I88" s="92"/>
      <c r="J88" s="93" t="b">
        <v>0</v>
      </c>
      <c r="K88" s="89"/>
      <c r="L88" s="89"/>
      <c r="M88" s="95"/>
      <c r="N88" s="95"/>
      <c r="O88" s="95"/>
      <c r="P88" s="95"/>
      <c r="Q88" s="95"/>
      <c r="R88" s="89" t="str">
        <f t="shared" si="5"/>
        <v/>
      </c>
      <c r="S88" s="89"/>
      <c r="T88" s="92"/>
      <c r="U88" s="92"/>
      <c r="V88" s="89"/>
      <c r="W88" s="92"/>
      <c r="X88" s="89"/>
      <c r="Y88" s="104"/>
      <c r="Z88" s="104"/>
      <c r="AA88" s="92"/>
      <c r="AB88" s="92"/>
      <c r="AC88" s="99"/>
      <c r="AD88" s="99"/>
    </row>
    <row r="89" ht="26.25" customHeight="1">
      <c r="B89" s="95"/>
      <c r="C89" s="95"/>
      <c r="D89" s="77"/>
      <c r="E89" s="101"/>
      <c r="F89" s="89" t="str">
        <f t="shared" si="6"/>
        <v/>
      </c>
      <c r="G89" s="92"/>
      <c r="H89" s="103"/>
      <c r="I89" s="92"/>
      <c r="J89" s="93" t="b">
        <v>0</v>
      </c>
      <c r="K89" s="89"/>
      <c r="L89" s="89"/>
      <c r="M89" s="95"/>
      <c r="N89" s="95"/>
      <c r="O89" s="95"/>
      <c r="P89" s="95"/>
      <c r="Q89" s="95"/>
      <c r="R89" s="89" t="str">
        <f t="shared" si="5"/>
        <v/>
      </c>
      <c r="S89" s="89"/>
      <c r="T89" s="92"/>
      <c r="U89" s="92"/>
      <c r="V89" s="89"/>
      <c r="W89" s="92"/>
      <c r="X89" s="89"/>
      <c r="Y89" s="104"/>
      <c r="Z89" s="104"/>
      <c r="AA89" s="92"/>
      <c r="AB89" s="92"/>
      <c r="AC89" s="99"/>
      <c r="AD89" s="99"/>
    </row>
    <row r="90" ht="26.25" customHeight="1">
      <c r="B90" s="95"/>
      <c r="C90" s="95"/>
      <c r="D90" s="77"/>
      <c r="E90" s="101"/>
      <c r="F90" s="89" t="str">
        <f t="shared" si="6"/>
        <v/>
      </c>
      <c r="G90" s="92"/>
      <c r="H90" s="103"/>
      <c r="I90" s="92"/>
      <c r="J90" s="93" t="b">
        <v>0</v>
      </c>
      <c r="K90" s="89"/>
      <c r="L90" s="89"/>
      <c r="M90" s="95"/>
      <c r="N90" s="95"/>
      <c r="O90" s="95"/>
      <c r="P90" s="95"/>
      <c r="Q90" s="95"/>
      <c r="R90" s="89" t="str">
        <f t="shared" si="5"/>
        <v/>
      </c>
      <c r="S90" s="89"/>
      <c r="T90" s="92"/>
      <c r="U90" s="92"/>
      <c r="V90" s="89"/>
      <c r="W90" s="92"/>
      <c r="X90" s="89"/>
      <c r="Y90" s="104"/>
      <c r="Z90" s="104"/>
      <c r="AA90" s="92"/>
      <c r="AB90" s="92"/>
      <c r="AC90" s="99"/>
      <c r="AD90" s="99"/>
    </row>
    <row r="91" ht="26.25" customHeight="1">
      <c r="B91" s="95"/>
      <c r="C91" s="95"/>
      <c r="D91" s="77"/>
      <c r="E91" s="101"/>
      <c r="F91" s="89" t="str">
        <f t="shared" si="6"/>
        <v/>
      </c>
      <c r="G91" s="92"/>
      <c r="H91" s="103"/>
      <c r="I91" s="92"/>
      <c r="J91" s="93" t="b">
        <v>0</v>
      </c>
      <c r="K91" s="89"/>
      <c r="L91" s="89"/>
      <c r="M91" s="95"/>
      <c r="N91" s="95"/>
      <c r="O91" s="95"/>
      <c r="P91" s="95"/>
      <c r="Q91" s="95"/>
      <c r="R91" s="89" t="str">
        <f t="shared" si="5"/>
        <v/>
      </c>
      <c r="S91" s="89"/>
      <c r="T91" s="92"/>
      <c r="U91" s="92"/>
      <c r="V91" s="89"/>
      <c r="W91" s="92"/>
      <c r="X91" s="89"/>
      <c r="Y91" s="104"/>
      <c r="Z91" s="104"/>
      <c r="AA91" s="92"/>
      <c r="AB91" s="92"/>
      <c r="AC91" s="99"/>
      <c r="AD91" s="99"/>
    </row>
    <row r="92" ht="26.25" customHeight="1">
      <c r="B92" s="95"/>
      <c r="C92" s="95"/>
      <c r="D92" s="77"/>
      <c r="E92" s="101"/>
      <c r="F92" s="89" t="str">
        <f t="shared" si="6"/>
        <v/>
      </c>
      <c r="G92" s="92"/>
      <c r="H92" s="103"/>
      <c r="I92" s="92"/>
      <c r="J92" s="93" t="b">
        <v>0</v>
      </c>
      <c r="K92" s="89"/>
      <c r="L92" s="89"/>
      <c r="M92" s="95"/>
      <c r="N92" s="95"/>
      <c r="O92" s="95"/>
      <c r="P92" s="95"/>
      <c r="Q92" s="95"/>
      <c r="R92" s="89" t="str">
        <f t="shared" si="5"/>
        <v/>
      </c>
      <c r="S92" s="89"/>
      <c r="T92" s="92"/>
      <c r="U92" s="92"/>
      <c r="V92" s="89"/>
      <c r="W92" s="92"/>
      <c r="X92" s="89"/>
      <c r="Y92" s="104"/>
      <c r="Z92" s="104"/>
      <c r="AA92" s="92"/>
      <c r="AB92" s="92"/>
      <c r="AC92" s="99"/>
      <c r="AD92" s="99"/>
    </row>
    <row r="93" ht="26.25" customHeight="1">
      <c r="B93" s="95"/>
      <c r="C93" s="95"/>
      <c r="D93" s="77"/>
      <c r="E93" s="101"/>
      <c r="F93" s="89" t="str">
        <f t="shared" si="6"/>
        <v/>
      </c>
      <c r="G93" s="92"/>
      <c r="H93" s="103"/>
      <c r="I93" s="92"/>
      <c r="J93" s="93" t="b">
        <v>0</v>
      </c>
      <c r="K93" s="89"/>
      <c r="L93" s="89"/>
      <c r="M93" s="95"/>
      <c r="N93" s="95"/>
      <c r="O93" s="95"/>
      <c r="P93" s="95"/>
      <c r="Q93" s="95"/>
      <c r="R93" s="89" t="str">
        <f t="shared" si="5"/>
        <v/>
      </c>
      <c r="S93" s="89"/>
      <c r="T93" s="92"/>
      <c r="U93" s="92"/>
      <c r="V93" s="89"/>
      <c r="W93" s="92"/>
      <c r="X93" s="89"/>
      <c r="Y93" s="104"/>
      <c r="Z93" s="104"/>
      <c r="AA93" s="92"/>
      <c r="AB93" s="92"/>
      <c r="AC93" s="99"/>
      <c r="AD93" s="99"/>
    </row>
    <row r="94" ht="26.25" customHeight="1">
      <c r="B94" s="95"/>
      <c r="C94" s="95"/>
      <c r="D94" s="77"/>
      <c r="E94" s="101"/>
      <c r="F94" s="89" t="str">
        <f t="shared" si="6"/>
        <v/>
      </c>
      <c r="G94" s="92"/>
      <c r="H94" s="103"/>
      <c r="I94" s="92"/>
      <c r="J94" s="93" t="b">
        <v>0</v>
      </c>
      <c r="K94" s="89"/>
      <c r="L94" s="89"/>
      <c r="M94" s="95"/>
      <c r="N94" s="95"/>
      <c r="O94" s="95"/>
      <c r="P94" s="95"/>
      <c r="Q94" s="95"/>
      <c r="R94" s="89" t="str">
        <f t="shared" si="5"/>
        <v/>
      </c>
      <c r="S94" s="89"/>
      <c r="T94" s="92"/>
      <c r="U94" s="92"/>
      <c r="V94" s="89"/>
      <c r="W94" s="92"/>
      <c r="X94" s="89"/>
      <c r="Y94" s="104"/>
      <c r="Z94" s="104"/>
      <c r="AA94" s="92"/>
      <c r="AB94" s="92"/>
      <c r="AC94" s="99"/>
      <c r="AD94" s="99"/>
    </row>
    <row r="95" ht="26.25" customHeight="1">
      <c r="B95" s="95"/>
      <c r="C95" s="95"/>
      <c r="D95" s="77"/>
      <c r="E95" s="101"/>
      <c r="F95" s="89" t="str">
        <f t="shared" si="6"/>
        <v/>
      </c>
      <c r="G95" s="92"/>
      <c r="H95" s="103"/>
      <c r="I95" s="92"/>
      <c r="J95" s="93" t="b">
        <v>0</v>
      </c>
      <c r="K95" s="89"/>
      <c r="L95" s="89"/>
      <c r="M95" s="95"/>
      <c r="N95" s="95"/>
      <c r="O95" s="95"/>
      <c r="P95" s="95"/>
      <c r="Q95" s="95"/>
      <c r="R95" s="89" t="str">
        <f t="shared" si="5"/>
        <v/>
      </c>
      <c r="S95" s="89"/>
      <c r="T95" s="92"/>
      <c r="U95" s="92"/>
      <c r="V95" s="89"/>
      <c r="W95" s="92"/>
      <c r="X95" s="89"/>
      <c r="Y95" s="104"/>
      <c r="Z95" s="104"/>
      <c r="AA95" s="92"/>
      <c r="AB95" s="92"/>
      <c r="AC95" s="99"/>
      <c r="AD95" s="99"/>
    </row>
    <row r="96" ht="26.25" customHeight="1">
      <c r="B96" s="95"/>
      <c r="C96" s="95"/>
      <c r="D96" s="77"/>
      <c r="E96" s="101"/>
      <c r="F96" s="89" t="str">
        <f t="shared" si="6"/>
        <v/>
      </c>
      <c r="G96" s="92"/>
      <c r="H96" s="103"/>
      <c r="I96" s="92"/>
      <c r="J96" s="93" t="b">
        <v>0</v>
      </c>
      <c r="K96" s="89"/>
      <c r="L96" s="89"/>
      <c r="M96" s="95"/>
      <c r="N96" s="95"/>
      <c r="O96" s="95"/>
      <c r="P96" s="95"/>
      <c r="Q96" s="95"/>
      <c r="R96" s="89" t="str">
        <f t="shared" si="5"/>
        <v/>
      </c>
      <c r="S96" s="89"/>
      <c r="T96" s="92"/>
      <c r="U96" s="92"/>
      <c r="V96" s="89"/>
      <c r="W96" s="92"/>
      <c r="X96" s="89"/>
      <c r="Y96" s="104"/>
      <c r="Z96" s="104"/>
      <c r="AA96" s="92"/>
      <c r="AB96" s="92"/>
      <c r="AC96" s="99"/>
      <c r="AD96" s="99"/>
    </row>
    <row r="97" ht="26.25" customHeight="1">
      <c r="B97" s="95"/>
      <c r="C97" s="95"/>
      <c r="D97" s="77"/>
      <c r="E97" s="101"/>
      <c r="F97" s="89" t="str">
        <f t="shared" si="6"/>
        <v/>
      </c>
      <c r="G97" s="92"/>
      <c r="H97" s="103"/>
      <c r="I97" s="92"/>
      <c r="J97" s="93" t="b">
        <v>0</v>
      </c>
      <c r="K97" s="89"/>
      <c r="L97" s="89"/>
      <c r="M97" s="95"/>
      <c r="N97" s="95"/>
      <c r="O97" s="95"/>
      <c r="P97" s="95"/>
      <c r="Q97" s="95"/>
      <c r="R97" s="89" t="str">
        <f t="shared" si="5"/>
        <v/>
      </c>
      <c r="S97" s="89"/>
      <c r="T97" s="92"/>
      <c r="U97" s="92"/>
      <c r="V97" s="89"/>
      <c r="W97" s="92"/>
      <c r="X97" s="89"/>
      <c r="Y97" s="104"/>
      <c r="Z97" s="104"/>
      <c r="AA97" s="92"/>
      <c r="AB97" s="92"/>
      <c r="AC97" s="99"/>
      <c r="AD97" s="99"/>
    </row>
    <row r="98" ht="26.25" customHeight="1">
      <c r="B98" s="95"/>
      <c r="C98" s="95"/>
      <c r="D98" s="77"/>
      <c r="E98" s="101"/>
      <c r="F98" s="89" t="str">
        <f t="shared" si="6"/>
        <v/>
      </c>
      <c r="G98" s="92"/>
      <c r="H98" s="103"/>
      <c r="I98" s="92"/>
      <c r="J98" s="93" t="b">
        <v>0</v>
      </c>
      <c r="K98" s="89"/>
      <c r="L98" s="89"/>
      <c r="M98" s="95"/>
      <c r="N98" s="95"/>
      <c r="O98" s="95"/>
      <c r="P98" s="95"/>
      <c r="Q98" s="95"/>
      <c r="R98" s="89" t="str">
        <f t="shared" si="5"/>
        <v/>
      </c>
      <c r="S98" s="89"/>
      <c r="T98" s="92"/>
      <c r="U98" s="92"/>
      <c r="V98" s="89"/>
      <c r="W98" s="92"/>
      <c r="X98" s="89"/>
      <c r="Y98" s="104"/>
      <c r="Z98" s="104"/>
      <c r="AA98" s="92"/>
      <c r="AB98" s="92"/>
      <c r="AC98" s="99"/>
      <c r="AD98" s="99"/>
    </row>
    <row r="99" ht="26.25" customHeight="1">
      <c r="B99" s="95"/>
      <c r="C99" s="95"/>
      <c r="D99" s="77"/>
      <c r="E99" s="101"/>
      <c r="F99" s="89" t="str">
        <f t="shared" si="6"/>
        <v/>
      </c>
      <c r="G99" s="92"/>
      <c r="H99" s="103"/>
      <c r="I99" s="92"/>
      <c r="J99" s="93" t="b">
        <v>0</v>
      </c>
      <c r="K99" s="89"/>
      <c r="L99" s="89"/>
      <c r="M99" s="95"/>
      <c r="N99" s="95"/>
      <c r="O99" s="95"/>
      <c r="P99" s="95"/>
      <c r="Q99" s="95"/>
      <c r="R99" s="89" t="str">
        <f t="shared" si="5"/>
        <v/>
      </c>
      <c r="S99" s="89"/>
      <c r="T99" s="92"/>
      <c r="U99" s="92"/>
      <c r="V99" s="89"/>
      <c r="W99" s="92"/>
      <c r="X99" s="89"/>
      <c r="Y99" s="104"/>
      <c r="Z99" s="104"/>
      <c r="AA99" s="92"/>
      <c r="AB99" s="92"/>
      <c r="AC99" s="99"/>
      <c r="AD99" s="99"/>
    </row>
    <row r="100" ht="26.25" customHeight="1">
      <c r="B100" s="95"/>
      <c r="C100" s="95"/>
      <c r="D100" s="77"/>
      <c r="E100" s="101"/>
      <c r="F100" s="89" t="str">
        <f t="shared" si="6"/>
        <v/>
      </c>
      <c r="G100" s="92"/>
      <c r="H100" s="103"/>
      <c r="I100" s="92"/>
      <c r="J100" s="93" t="b">
        <v>0</v>
      </c>
      <c r="K100" s="89"/>
      <c r="L100" s="89"/>
      <c r="M100" s="95"/>
      <c r="N100" s="95"/>
      <c r="O100" s="95"/>
      <c r="P100" s="95"/>
      <c r="Q100" s="95"/>
      <c r="R100" s="89" t="str">
        <f t="shared" si="5"/>
        <v/>
      </c>
      <c r="S100" s="89"/>
      <c r="T100" s="92"/>
      <c r="U100" s="92"/>
      <c r="V100" s="89"/>
      <c r="W100" s="92"/>
      <c r="X100" s="89"/>
      <c r="Y100" s="104"/>
      <c r="Z100" s="104"/>
      <c r="AA100" s="92"/>
      <c r="AB100" s="92"/>
      <c r="AC100" s="99"/>
      <c r="AD100" s="99"/>
    </row>
    <row r="101" ht="15.75" customHeight="1">
      <c r="E101" s="112"/>
      <c r="F101" s="52" t="str">
        <f t="shared" si="6"/>
        <v/>
      </c>
      <c r="G101" s="52"/>
      <c r="H101" s="52"/>
      <c r="I101" s="52"/>
      <c r="J101" s="52"/>
      <c r="K101" s="52"/>
      <c r="L101" s="52"/>
      <c r="R101" s="52" t="str">
        <f t="shared" si="5"/>
        <v/>
      </c>
      <c r="S101" s="52"/>
      <c r="T101" s="52"/>
      <c r="U101" s="52"/>
      <c r="V101" s="52"/>
      <c r="W101" s="52"/>
      <c r="X101" s="114"/>
      <c r="Y101" s="56"/>
      <c r="Z101" s="115"/>
      <c r="AA101" s="116"/>
    </row>
    <row r="102" ht="15.75" customHeight="1">
      <c r="E102" s="112"/>
      <c r="F102" s="52" t="str">
        <f t="shared" si="6"/>
        <v/>
      </c>
      <c r="G102" s="52"/>
      <c r="H102" s="52"/>
      <c r="I102" s="52"/>
      <c r="J102" s="52"/>
      <c r="K102" s="52"/>
      <c r="L102" s="52"/>
      <c r="R102" s="52" t="str">
        <f t="shared" si="5"/>
        <v/>
      </c>
      <c r="S102" s="52"/>
      <c r="T102" s="52"/>
      <c r="U102" s="52"/>
      <c r="V102" s="52"/>
      <c r="W102" s="52"/>
      <c r="X102" s="114"/>
      <c r="Y102" s="56"/>
      <c r="Z102" s="115"/>
      <c r="AA102" s="116"/>
    </row>
    <row r="103" ht="15.75" customHeight="1">
      <c r="E103" s="112"/>
      <c r="F103" s="52" t="str">
        <f t="shared" si="6"/>
        <v/>
      </c>
      <c r="G103" s="52"/>
      <c r="H103" s="52"/>
      <c r="I103" s="52"/>
      <c r="J103" s="52"/>
      <c r="K103" s="52"/>
      <c r="L103" s="52"/>
      <c r="R103" s="52" t="str">
        <f t="shared" si="5"/>
        <v/>
      </c>
      <c r="S103" s="52"/>
      <c r="T103" s="52"/>
      <c r="U103" s="52"/>
      <c r="V103" s="52"/>
      <c r="W103" s="52"/>
      <c r="X103" s="114"/>
      <c r="Y103" s="56"/>
      <c r="Z103" s="115"/>
      <c r="AA103" s="116"/>
    </row>
    <row r="104" ht="15.75" customHeight="1">
      <c r="E104" s="112"/>
      <c r="F104" s="52" t="str">
        <f t="shared" si="6"/>
        <v/>
      </c>
      <c r="G104" s="52"/>
      <c r="H104" s="52"/>
      <c r="I104" s="52"/>
      <c r="J104" s="52"/>
      <c r="K104" s="52"/>
      <c r="L104" s="52"/>
      <c r="R104" s="52" t="str">
        <f t="shared" si="5"/>
        <v/>
      </c>
      <c r="S104" s="52"/>
      <c r="T104" s="52"/>
      <c r="U104" s="52"/>
      <c r="V104" s="52"/>
      <c r="W104" s="52"/>
      <c r="X104" s="114"/>
      <c r="Y104" s="56"/>
      <c r="Z104" s="115"/>
      <c r="AA104" s="116"/>
    </row>
    <row r="105" ht="15.75" customHeight="1">
      <c r="E105" s="112"/>
      <c r="F105" s="52" t="str">
        <f t="shared" si="6"/>
        <v/>
      </c>
      <c r="G105" s="52"/>
      <c r="H105" s="52"/>
      <c r="I105" s="52"/>
      <c r="J105" s="52"/>
      <c r="K105" s="52"/>
      <c r="L105" s="52"/>
      <c r="R105" s="52" t="str">
        <f t="shared" si="5"/>
        <v/>
      </c>
      <c r="S105" s="52"/>
      <c r="T105" s="52"/>
      <c r="U105" s="52"/>
      <c r="V105" s="52"/>
      <c r="W105" s="52"/>
      <c r="X105" s="114"/>
      <c r="Y105" s="56"/>
      <c r="Z105" s="115"/>
      <c r="AA105" s="116"/>
    </row>
    <row r="106" ht="15.75" customHeight="1">
      <c r="E106" s="112"/>
      <c r="F106" s="52" t="str">
        <f t="shared" si="6"/>
        <v/>
      </c>
      <c r="G106" s="52"/>
      <c r="H106" s="52"/>
      <c r="I106" s="52"/>
      <c r="J106" s="52"/>
      <c r="K106" s="52"/>
      <c r="L106" s="52"/>
      <c r="R106" s="52" t="str">
        <f t="shared" si="5"/>
        <v/>
      </c>
      <c r="S106" s="52"/>
      <c r="T106" s="52"/>
      <c r="U106" s="52"/>
      <c r="V106" s="52"/>
      <c r="W106" s="52"/>
      <c r="X106" s="114"/>
      <c r="Y106" s="56"/>
      <c r="Z106" s="115"/>
      <c r="AA106" s="116"/>
    </row>
    <row r="107" ht="15.75" customHeight="1">
      <c r="E107" s="112"/>
      <c r="F107" s="52" t="str">
        <f t="shared" si="6"/>
        <v/>
      </c>
      <c r="G107" s="52"/>
      <c r="H107" s="52"/>
      <c r="I107" s="52"/>
      <c r="J107" s="52"/>
      <c r="K107" s="52"/>
      <c r="L107" s="52"/>
      <c r="R107" s="52" t="str">
        <f t="shared" si="5"/>
        <v/>
      </c>
      <c r="S107" s="52"/>
      <c r="T107" s="52"/>
      <c r="U107" s="52"/>
      <c r="V107" s="52"/>
      <c r="W107" s="52"/>
      <c r="X107" s="114"/>
      <c r="Y107" s="56"/>
      <c r="Z107" s="115"/>
      <c r="AA107" s="116"/>
    </row>
    <row r="108" ht="15.75" customHeight="1">
      <c r="E108" s="112"/>
      <c r="F108" s="52" t="str">
        <f t="shared" si="6"/>
        <v/>
      </c>
      <c r="G108" s="52"/>
      <c r="H108" s="52"/>
      <c r="I108" s="52"/>
      <c r="J108" s="52"/>
      <c r="K108" s="52"/>
      <c r="L108" s="52"/>
      <c r="R108" s="52" t="str">
        <f t="shared" si="5"/>
        <v/>
      </c>
      <c r="S108" s="52"/>
      <c r="T108" s="52"/>
      <c r="U108" s="52"/>
      <c r="V108" s="52"/>
      <c r="W108" s="52"/>
      <c r="X108" s="114"/>
      <c r="Y108" s="56"/>
      <c r="Z108" s="115"/>
      <c r="AA108" s="116"/>
    </row>
    <row r="109" ht="15.75" customHeight="1">
      <c r="E109" s="112"/>
      <c r="F109" s="52" t="str">
        <f t="shared" si="6"/>
        <v/>
      </c>
      <c r="G109" s="52"/>
      <c r="H109" s="52"/>
      <c r="I109" s="52"/>
      <c r="J109" s="52"/>
      <c r="K109" s="52"/>
      <c r="L109" s="52"/>
      <c r="R109" s="52" t="str">
        <f t="shared" si="5"/>
        <v/>
      </c>
      <c r="S109" s="52"/>
      <c r="T109" s="52"/>
      <c r="U109" s="52"/>
      <c r="V109" s="52"/>
      <c r="W109" s="52"/>
      <c r="X109" s="114"/>
      <c r="Y109" s="56"/>
      <c r="Z109" s="115"/>
      <c r="AA109" s="116"/>
    </row>
    <row r="110" ht="15.75" customHeight="1">
      <c r="E110" s="112"/>
      <c r="F110" s="52" t="str">
        <f t="shared" si="6"/>
        <v/>
      </c>
      <c r="G110" s="52"/>
      <c r="H110" s="52"/>
      <c r="I110" s="52"/>
      <c r="J110" s="52"/>
      <c r="K110" s="52"/>
      <c r="L110" s="52"/>
      <c r="R110" s="52" t="str">
        <f t="shared" si="5"/>
        <v/>
      </c>
      <c r="S110" s="52"/>
      <c r="T110" s="52"/>
      <c r="U110" s="52"/>
      <c r="V110" s="52"/>
      <c r="W110" s="52"/>
      <c r="X110" s="114"/>
      <c r="Y110" s="56"/>
      <c r="Z110" s="115"/>
      <c r="AA110" s="116"/>
    </row>
    <row r="111" ht="15.75" customHeight="1">
      <c r="E111" s="112"/>
      <c r="F111" s="52" t="str">
        <f t="shared" si="6"/>
        <v/>
      </c>
      <c r="G111" s="52"/>
      <c r="H111" s="52"/>
      <c r="I111" s="52"/>
      <c r="J111" s="52"/>
      <c r="K111" s="52"/>
      <c r="L111" s="52"/>
      <c r="R111" s="52" t="str">
        <f t="shared" si="5"/>
        <v/>
      </c>
      <c r="S111" s="52"/>
      <c r="T111" s="52"/>
      <c r="U111" s="52"/>
      <c r="V111" s="52"/>
      <c r="W111" s="52"/>
      <c r="X111" s="114"/>
      <c r="Y111" s="56"/>
      <c r="Z111" s="115"/>
      <c r="AA111" s="116"/>
    </row>
    <row r="112" ht="15.75" customHeight="1">
      <c r="E112" s="112"/>
      <c r="F112" s="52" t="str">
        <f t="shared" si="6"/>
        <v/>
      </c>
      <c r="G112" s="52"/>
      <c r="H112" s="52"/>
      <c r="I112" s="52"/>
      <c r="J112" s="52"/>
      <c r="K112" s="52"/>
      <c r="L112" s="52"/>
      <c r="R112" s="52" t="str">
        <f t="shared" si="5"/>
        <v/>
      </c>
      <c r="S112" s="52"/>
      <c r="T112" s="52"/>
      <c r="U112" s="52"/>
      <c r="V112" s="52"/>
      <c r="W112" s="52"/>
      <c r="X112" s="114"/>
      <c r="Y112" s="56"/>
      <c r="Z112" s="115"/>
      <c r="AA112" s="116"/>
    </row>
    <row r="113" ht="15.75" customHeight="1">
      <c r="E113" s="112"/>
      <c r="F113" s="52" t="str">
        <f t="shared" si="6"/>
        <v/>
      </c>
      <c r="G113" s="52"/>
      <c r="H113" s="52"/>
      <c r="I113" s="52"/>
      <c r="J113" s="52"/>
      <c r="K113" s="52"/>
      <c r="L113" s="52"/>
      <c r="R113" s="52" t="str">
        <f t="shared" si="5"/>
        <v/>
      </c>
      <c r="S113" s="52"/>
      <c r="T113" s="52"/>
      <c r="U113" s="52"/>
      <c r="V113" s="52"/>
      <c r="W113" s="52"/>
      <c r="X113" s="114"/>
      <c r="Y113" s="56"/>
      <c r="Z113" s="115"/>
      <c r="AA113" s="116"/>
    </row>
    <row r="114" ht="15.75" customHeight="1">
      <c r="E114" s="112"/>
      <c r="F114" s="52" t="str">
        <f t="shared" si="6"/>
        <v/>
      </c>
      <c r="G114" s="52"/>
      <c r="H114" s="52"/>
      <c r="I114" s="52"/>
      <c r="J114" s="52"/>
      <c r="K114" s="52"/>
      <c r="L114" s="52"/>
      <c r="R114" s="52" t="str">
        <f t="shared" si="5"/>
        <v/>
      </c>
      <c r="S114" s="52"/>
      <c r="T114" s="52"/>
      <c r="U114" s="52"/>
      <c r="V114" s="52"/>
      <c r="W114" s="52"/>
      <c r="X114" s="114"/>
      <c r="Y114" s="56"/>
      <c r="Z114" s="115"/>
      <c r="AA114" s="116"/>
    </row>
    <row r="115" ht="15.75" customHeight="1">
      <c r="E115" s="112"/>
      <c r="F115" s="52" t="str">
        <f t="shared" si="6"/>
        <v/>
      </c>
      <c r="G115" s="52"/>
      <c r="H115" s="52"/>
      <c r="I115" s="52"/>
      <c r="J115" s="52"/>
      <c r="K115" s="52"/>
      <c r="L115" s="52"/>
      <c r="R115" s="52" t="str">
        <f t="shared" si="5"/>
        <v/>
      </c>
      <c r="S115" s="52"/>
      <c r="T115" s="52"/>
      <c r="U115" s="52"/>
      <c r="V115" s="52"/>
      <c r="W115" s="52"/>
      <c r="X115" s="114"/>
      <c r="Y115" s="56"/>
      <c r="Z115" s="115"/>
      <c r="AA115" s="116"/>
    </row>
    <row r="116" ht="15.75" customHeight="1">
      <c r="E116" s="112"/>
      <c r="F116" s="52" t="str">
        <f t="shared" si="6"/>
        <v/>
      </c>
      <c r="G116" s="52"/>
      <c r="H116" s="52"/>
      <c r="I116" s="52"/>
      <c r="J116" s="52"/>
      <c r="K116" s="52"/>
      <c r="L116" s="52"/>
      <c r="R116" s="52" t="str">
        <f t="shared" si="5"/>
        <v/>
      </c>
      <c r="S116" s="52"/>
      <c r="T116" s="52"/>
      <c r="U116" s="52"/>
      <c r="V116" s="52"/>
      <c r="W116" s="52"/>
      <c r="X116" s="114"/>
      <c r="Y116" s="56"/>
      <c r="Z116" s="115"/>
      <c r="AA116" s="116"/>
    </row>
    <row r="117" ht="15.75" customHeight="1">
      <c r="E117" s="112"/>
      <c r="F117" s="52" t="str">
        <f t="shared" si="6"/>
        <v/>
      </c>
      <c r="G117" s="52"/>
      <c r="H117" s="52"/>
      <c r="I117" s="52"/>
      <c r="J117" s="52"/>
      <c r="K117" s="52"/>
      <c r="L117" s="52"/>
      <c r="R117" s="52" t="str">
        <f t="shared" si="5"/>
        <v/>
      </c>
      <c r="S117" s="52"/>
      <c r="T117" s="52"/>
      <c r="U117" s="52"/>
      <c r="V117" s="52"/>
      <c r="W117" s="52"/>
      <c r="X117" s="114"/>
      <c r="Y117" s="56"/>
      <c r="Z117" s="115"/>
      <c r="AA117" s="116"/>
    </row>
    <row r="118" ht="15.75" customHeight="1">
      <c r="E118" s="112"/>
      <c r="F118" s="52" t="str">
        <f t="shared" si="6"/>
        <v/>
      </c>
      <c r="G118" s="52"/>
      <c r="H118" s="52"/>
      <c r="I118" s="52"/>
      <c r="J118" s="52"/>
      <c r="K118" s="52"/>
      <c r="L118" s="52"/>
      <c r="R118" s="52" t="str">
        <f t="shared" si="5"/>
        <v/>
      </c>
      <c r="S118" s="52"/>
      <c r="T118" s="52"/>
      <c r="U118" s="52"/>
      <c r="V118" s="52"/>
      <c r="W118" s="52"/>
      <c r="X118" s="114"/>
      <c r="Y118" s="56"/>
      <c r="Z118" s="115"/>
      <c r="AA118" s="116"/>
    </row>
    <row r="119" ht="15.75" customHeight="1">
      <c r="E119" s="112"/>
      <c r="F119" s="52" t="str">
        <f t="shared" si="6"/>
        <v/>
      </c>
      <c r="G119" s="52"/>
      <c r="H119" s="52"/>
      <c r="I119" s="52"/>
      <c r="J119" s="52"/>
      <c r="K119" s="52"/>
      <c r="L119" s="52"/>
      <c r="R119" s="52" t="str">
        <f t="shared" si="5"/>
        <v/>
      </c>
      <c r="S119" s="52"/>
      <c r="T119" s="52"/>
      <c r="U119" s="52"/>
      <c r="V119" s="52"/>
      <c r="W119" s="52"/>
      <c r="X119" s="114"/>
      <c r="Y119" s="56"/>
      <c r="Z119" s="115"/>
      <c r="AA119" s="116"/>
    </row>
    <row r="120" ht="15.75" customHeight="1">
      <c r="E120" s="112"/>
      <c r="F120" s="52" t="str">
        <f t="shared" si="6"/>
        <v/>
      </c>
      <c r="G120" s="52"/>
      <c r="H120" s="52"/>
      <c r="I120" s="52"/>
      <c r="J120" s="52"/>
      <c r="K120" s="52"/>
      <c r="L120" s="52"/>
      <c r="R120" s="52" t="str">
        <f t="shared" si="5"/>
        <v/>
      </c>
      <c r="S120" s="52"/>
      <c r="T120" s="52"/>
      <c r="U120" s="52"/>
      <c r="V120" s="52"/>
      <c r="W120" s="52"/>
      <c r="X120" s="114"/>
      <c r="Y120" s="56"/>
      <c r="Z120" s="115"/>
      <c r="AA120" s="116"/>
    </row>
    <row r="121" ht="15.75" customHeight="1">
      <c r="E121" s="112"/>
      <c r="F121" s="52" t="str">
        <f t="shared" si="6"/>
        <v/>
      </c>
      <c r="G121" s="52"/>
      <c r="H121" s="52"/>
      <c r="I121" s="52"/>
      <c r="J121" s="52"/>
      <c r="K121" s="52"/>
      <c r="L121" s="52"/>
      <c r="R121" s="52" t="str">
        <f t="shared" si="5"/>
        <v/>
      </c>
      <c r="S121" s="52"/>
      <c r="T121" s="52"/>
      <c r="U121" s="52"/>
      <c r="V121" s="52"/>
      <c r="W121" s="52"/>
      <c r="X121" s="114"/>
      <c r="Y121" s="56"/>
      <c r="Z121" s="115"/>
      <c r="AA121" s="116"/>
    </row>
    <row r="122" ht="15.75" customHeight="1">
      <c r="E122" s="112"/>
      <c r="F122" s="52" t="str">
        <f t="shared" si="6"/>
        <v/>
      </c>
      <c r="G122" s="52"/>
      <c r="H122" s="52"/>
      <c r="I122" s="52"/>
      <c r="J122" s="52"/>
      <c r="K122" s="52"/>
      <c r="L122" s="52"/>
      <c r="R122" s="52" t="str">
        <f t="shared" si="5"/>
        <v/>
      </c>
      <c r="S122" s="52"/>
      <c r="T122" s="52"/>
      <c r="U122" s="52"/>
      <c r="V122" s="52"/>
      <c r="W122" s="52"/>
      <c r="X122" s="114"/>
      <c r="Y122" s="56"/>
      <c r="Z122" s="115"/>
      <c r="AA122" s="116"/>
    </row>
    <row r="123" ht="15.75" customHeight="1">
      <c r="E123" s="112"/>
      <c r="F123" s="52" t="str">
        <f t="shared" si="6"/>
        <v/>
      </c>
      <c r="G123" s="52"/>
      <c r="H123" s="52"/>
      <c r="I123" s="52"/>
      <c r="J123" s="52"/>
      <c r="K123" s="52"/>
      <c r="L123" s="52"/>
      <c r="R123" s="52" t="str">
        <f t="shared" si="5"/>
        <v/>
      </c>
      <c r="S123" s="52"/>
      <c r="T123" s="52"/>
      <c r="U123" s="52"/>
      <c r="V123" s="52"/>
      <c r="W123" s="52"/>
      <c r="X123" s="114"/>
      <c r="Y123" s="56"/>
      <c r="Z123" s="115"/>
      <c r="AA123" s="116"/>
    </row>
    <row r="124" ht="15.75" customHeight="1">
      <c r="E124" s="112"/>
      <c r="F124" s="52" t="str">
        <f t="shared" si="6"/>
        <v/>
      </c>
      <c r="G124" s="52"/>
      <c r="H124" s="52"/>
      <c r="I124" s="52"/>
      <c r="J124" s="52"/>
      <c r="K124" s="52"/>
      <c r="L124" s="52"/>
      <c r="R124" s="52" t="str">
        <f t="shared" si="5"/>
        <v/>
      </c>
      <c r="S124" s="52"/>
      <c r="T124" s="52"/>
      <c r="U124" s="52"/>
      <c r="V124" s="52"/>
      <c r="W124" s="52"/>
      <c r="X124" s="114"/>
      <c r="Y124" s="56"/>
      <c r="Z124" s="115"/>
      <c r="AA124" s="116"/>
    </row>
    <row r="125" ht="15.75" customHeight="1">
      <c r="E125" s="112"/>
      <c r="F125" s="52" t="str">
        <f t="shared" si="6"/>
        <v/>
      </c>
      <c r="G125" s="52"/>
      <c r="H125" s="52"/>
      <c r="I125" s="52"/>
      <c r="J125" s="52"/>
      <c r="K125" s="52"/>
      <c r="L125" s="52"/>
      <c r="R125" s="52" t="str">
        <f t="shared" si="5"/>
        <v/>
      </c>
      <c r="S125" s="52"/>
      <c r="T125" s="52"/>
      <c r="U125" s="52"/>
      <c r="V125" s="52"/>
      <c r="W125" s="52"/>
      <c r="X125" s="114"/>
      <c r="Y125" s="56"/>
      <c r="Z125" s="115"/>
      <c r="AA125" s="116"/>
    </row>
    <row r="126" ht="15.75" customHeight="1">
      <c r="E126" s="112"/>
      <c r="F126" s="52" t="str">
        <f t="shared" si="6"/>
        <v/>
      </c>
      <c r="G126" s="52"/>
      <c r="H126" s="52"/>
      <c r="I126" s="52"/>
      <c r="J126" s="52"/>
      <c r="K126" s="52"/>
      <c r="L126" s="52"/>
      <c r="R126" s="52" t="str">
        <f t="shared" si="5"/>
        <v/>
      </c>
      <c r="S126" s="52"/>
      <c r="T126" s="52"/>
      <c r="U126" s="52"/>
      <c r="V126" s="52"/>
      <c r="W126" s="52"/>
      <c r="X126" s="114"/>
      <c r="Y126" s="56"/>
      <c r="Z126" s="115"/>
      <c r="AA126" s="116"/>
    </row>
    <row r="127" ht="15.75" customHeight="1">
      <c r="E127" s="112"/>
      <c r="F127" s="52" t="str">
        <f t="shared" si="6"/>
        <v/>
      </c>
      <c r="G127" s="52"/>
      <c r="H127" s="52"/>
      <c r="I127" s="52"/>
      <c r="J127" s="52"/>
      <c r="K127" s="52"/>
      <c r="L127" s="52"/>
      <c r="R127" s="52" t="str">
        <f t="shared" si="5"/>
        <v/>
      </c>
      <c r="S127" s="52"/>
      <c r="T127" s="52"/>
      <c r="U127" s="52"/>
      <c r="V127" s="52"/>
      <c r="W127" s="52"/>
      <c r="X127" s="114"/>
      <c r="Y127" s="56"/>
      <c r="Z127" s="115"/>
      <c r="AA127" s="116"/>
    </row>
    <row r="128" ht="15.75" customHeight="1">
      <c r="E128" s="112"/>
      <c r="F128" s="52" t="str">
        <f t="shared" si="6"/>
        <v/>
      </c>
      <c r="G128" s="52"/>
      <c r="H128" s="52"/>
      <c r="I128" s="52"/>
      <c r="J128" s="52"/>
      <c r="K128" s="52"/>
      <c r="L128" s="52"/>
      <c r="R128" s="52" t="str">
        <f t="shared" si="5"/>
        <v/>
      </c>
      <c r="S128" s="52"/>
      <c r="T128" s="52"/>
      <c r="U128" s="52"/>
      <c r="V128" s="52"/>
      <c r="W128" s="52"/>
      <c r="X128" s="114"/>
      <c r="Y128" s="56"/>
      <c r="Z128" s="115"/>
      <c r="AA128" s="116"/>
    </row>
    <row r="129" ht="15.75" customHeight="1">
      <c r="E129" s="112"/>
      <c r="F129" s="52" t="str">
        <f t="shared" si="6"/>
        <v/>
      </c>
      <c r="G129" s="52"/>
      <c r="H129" s="52"/>
      <c r="I129" s="52"/>
      <c r="J129" s="52"/>
      <c r="K129" s="52"/>
      <c r="L129" s="52"/>
      <c r="R129" s="52" t="str">
        <f t="shared" si="5"/>
        <v/>
      </c>
      <c r="S129" s="52"/>
      <c r="T129" s="52"/>
      <c r="U129" s="52"/>
      <c r="V129" s="52"/>
      <c r="W129" s="52"/>
      <c r="X129" s="114"/>
      <c r="Y129" s="56"/>
      <c r="Z129" s="115"/>
      <c r="AA129" s="116"/>
    </row>
    <row r="130" ht="15.75" customHeight="1">
      <c r="E130" s="112"/>
      <c r="F130" s="52" t="str">
        <f t="shared" si="6"/>
        <v/>
      </c>
      <c r="G130" s="52"/>
      <c r="H130" s="52"/>
      <c r="I130" s="52"/>
      <c r="J130" s="52"/>
      <c r="K130" s="52"/>
      <c r="L130" s="52"/>
      <c r="R130" s="52" t="str">
        <f t="shared" si="5"/>
        <v/>
      </c>
      <c r="S130" s="52"/>
      <c r="T130" s="52"/>
      <c r="U130" s="52"/>
      <c r="V130" s="52"/>
      <c r="W130" s="52"/>
      <c r="X130" s="114"/>
      <c r="Y130" s="56"/>
      <c r="Z130" s="115"/>
      <c r="AA130" s="116"/>
    </row>
    <row r="131" ht="15.75" customHeight="1">
      <c r="E131" s="112"/>
      <c r="F131" s="52" t="str">
        <f t="shared" si="6"/>
        <v/>
      </c>
      <c r="G131" s="52"/>
      <c r="H131" s="52"/>
      <c r="I131" s="52"/>
      <c r="J131" s="52"/>
      <c r="K131" s="52"/>
      <c r="L131" s="52"/>
      <c r="R131" s="52" t="str">
        <f t="shared" si="5"/>
        <v/>
      </c>
      <c r="S131" s="52"/>
      <c r="T131" s="52"/>
      <c r="U131" s="52"/>
      <c r="V131" s="52"/>
      <c r="W131" s="52"/>
      <c r="X131" s="114"/>
      <c r="Y131" s="56"/>
      <c r="Z131" s="115"/>
      <c r="AA131" s="116"/>
    </row>
    <row r="132" ht="15.75" customHeight="1">
      <c r="E132" s="112"/>
      <c r="F132" s="52" t="str">
        <f t="shared" si="6"/>
        <v/>
      </c>
      <c r="G132" s="52"/>
      <c r="H132" s="52"/>
      <c r="I132" s="52"/>
      <c r="J132" s="52"/>
      <c r="K132" s="52"/>
      <c r="L132" s="52"/>
      <c r="R132" s="52" t="str">
        <f t="shared" si="5"/>
        <v/>
      </c>
      <c r="S132" s="52"/>
      <c r="T132" s="52"/>
      <c r="U132" s="52"/>
      <c r="V132" s="52"/>
      <c r="W132" s="52"/>
      <c r="X132" s="114"/>
      <c r="Y132" s="56"/>
      <c r="Z132" s="115"/>
      <c r="AA132" s="116"/>
    </row>
    <row r="133" ht="15.75" customHeight="1">
      <c r="E133" s="112"/>
      <c r="F133" s="52" t="str">
        <f t="shared" si="6"/>
        <v/>
      </c>
      <c r="G133" s="52"/>
      <c r="H133" s="52"/>
      <c r="I133" s="52"/>
      <c r="J133" s="52"/>
      <c r="K133" s="52"/>
      <c r="L133" s="52"/>
      <c r="R133" s="52" t="str">
        <f t="shared" si="5"/>
        <v/>
      </c>
      <c r="S133" s="52"/>
      <c r="T133" s="52"/>
      <c r="U133" s="52"/>
      <c r="V133" s="52"/>
      <c r="W133" s="52"/>
      <c r="X133" s="114"/>
      <c r="Y133" s="56"/>
      <c r="Z133" s="115"/>
      <c r="AA133" s="116"/>
    </row>
    <row r="134" ht="15.75" customHeight="1">
      <c r="E134" s="112"/>
      <c r="F134" s="52" t="str">
        <f t="shared" si="6"/>
        <v/>
      </c>
      <c r="G134" s="52"/>
      <c r="H134" s="52"/>
      <c r="I134" s="52"/>
      <c r="J134" s="52"/>
      <c r="K134" s="52"/>
      <c r="L134" s="52"/>
      <c r="R134" s="52" t="str">
        <f t="shared" si="5"/>
        <v/>
      </c>
      <c r="S134" s="52"/>
      <c r="T134" s="52"/>
      <c r="U134" s="52"/>
      <c r="V134" s="52"/>
      <c r="W134" s="52"/>
      <c r="X134" s="114"/>
      <c r="Y134" s="56"/>
      <c r="Z134" s="115"/>
      <c r="AA134" s="116"/>
    </row>
    <row r="135" ht="15.75" customHeight="1">
      <c r="E135" s="112"/>
      <c r="F135" s="52" t="str">
        <f t="shared" si="6"/>
        <v/>
      </c>
      <c r="G135" s="52"/>
      <c r="H135" s="52"/>
      <c r="I135" s="52"/>
      <c r="J135" s="52"/>
      <c r="K135" s="52"/>
      <c r="L135" s="52"/>
      <c r="R135" s="52" t="str">
        <f t="shared" si="5"/>
        <v/>
      </c>
      <c r="S135" s="52"/>
      <c r="T135" s="52"/>
      <c r="U135" s="52"/>
      <c r="V135" s="52"/>
      <c r="W135" s="52"/>
      <c r="X135" s="114"/>
      <c r="Y135" s="56"/>
      <c r="Z135" s="115"/>
      <c r="AA135" s="116"/>
    </row>
    <row r="136" ht="15.75" customHeight="1">
      <c r="E136" s="112"/>
      <c r="F136" s="52" t="str">
        <f t="shared" si="6"/>
        <v/>
      </c>
      <c r="G136" s="52"/>
      <c r="H136" s="52"/>
      <c r="I136" s="52"/>
      <c r="J136" s="52"/>
      <c r="K136" s="52"/>
      <c r="L136" s="52"/>
      <c r="R136" s="52" t="str">
        <f t="shared" si="5"/>
        <v/>
      </c>
      <c r="S136" s="52"/>
      <c r="T136" s="52"/>
      <c r="U136" s="52"/>
      <c r="V136" s="52"/>
      <c r="W136" s="52"/>
      <c r="X136" s="114"/>
      <c r="Y136" s="56"/>
      <c r="Z136" s="115"/>
      <c r="AA136" s="116"/>
    </row>
    <row r="137" ht="15.75" customHeight="1">
      <c r="E137" s="112"/>
      <c r="F137" s="52" t="str">
        <f t="shared" si="6"/>
        <v/>
      </c>
      <c r="G137" s="52"/>
      <c r="H137" s="52"/>
      <c r="I137" s="52"/>
      <c r="J137" s="52"/>
      <c r="K137" s="52"/>
      <c r="L137" s="52"/>
      <c r="R137" s="52" t="str">
        <f t="shared" si="5"/>
        <v/>
      </c>
      <c r="S137" s="52"/>
      <c r="T137" s="52"/>
      <c r="U137" s="52"/>
      <c r="V137" s="52"/>
      <c r="W137" s="52"/>
      <c r="X137" s="114"/>
      <c r="Y137" s="56"/>
      <c r="Z137" s="115"/>
      <c r="AA137" s="116"/>
    </row>
    <row r="138" ht="15.75" customHeight="1">
      <c r="E138" s="112"/>
      <c r="F138" s="52" t="str">
        <f t="shared" si="6"/>
        <v/>
      </c>
      <c r="G138" s="52"/>
      <c r="H138" s="52"/>
      <c r="I138" s="52"/>
      <c r="J138" s="52"/>
      <c r="K138" s="52"/>
      <c r="L138" s="52"/>
      <c r="R138" s="52" t="str">
        <f t="shared" si="5"/>
        <v/>
      </c>
      <c r="S138" s="52"/>
      <c r="T138" s="52"/>
      <c r="U138" s="52"/>
      <c r="V138" s="52"/>
      <c r="W138" s="52"/>
      <c r="X138" s="114"/>
      <c r="Y138" s="56"/>
      <c r="Z138" s="115"/>
      <c r="AA138" s="116"/>
    </row>
    <row r="139" ht="15.75" customHeight="1">
      <c r="E139" s="112"/>
      <c r="F139" s="52" t="str">
        <f t="shared" si="6"/>
        <v/>
      </c>
      <c r="G139" s="52"/>
      <c r="H139" s="52"/>
      <c r="I139" s="52"/>
      <c r="J139" s="52"/>
      <c r="K139" s="52"/>
      <c r="L139" s="52"/>
      <c r="R139" s="52" t="str">
        <f t="shared" si="5"/>
        <v/>
      </c>
      <c r="S139" s="52"/>
      <c r="T139" s="52"/>
      <c r="U139" s="52"/>
      <c r="V139" s="52"/>
      <c r="W139" s="52"/>
      <c r="X139" s="114"/>
      <c r="Y139" s="56"/>
      <c r="Z139" s="115"/>
      <c r="AA139" s="116"/>
    </row>
    <row r="140" ht="15.75" customHeight="1">
      <c r="E140" s="112"/>
      <c r="F140" s="52" t="str">
        <f t="shared" si="6"/>
        <v/>
      </c>
      <c r="G140" s="52"/>
      <c r="H140" s="52"/>
      <c r="I140" s="52"/>
      <c r="J140" s="52"/>
      <c r="K140" s="52"/>
      <c r="L140" s="52"/>
      <c r="R140" s="52" t="str">
        <f t="shared" si="5"/>
        <v/>
      </c>
      <c r="S140" s="52"/>
      <c r="T140" s="52"/>
      <c r="U140" s="52"/>
      <c r="V140" s="52"/>
      <c r="W140" s="52"/>
      <c r="X140" s="114"/>
      <c r="Y140" s="56"/>
      <c r="Z140" s="115"/>
      <c r="AA140" s="116"/>
    </row>
    <row r="141" ht="15.75" customHeight="1">
      <c r="E141" s="112"/>
      <c r="F141" s="52" t="str">
        <f t="shared" si="6"/>
        <v/>
      </c>
      <c r="G141" s="52"/>
      <c r="H141" s="52"/>
      <c r="I141" s="52"/>
      <c r="J141" s="52"/>
      <c r="K141" s="52"/>
      <c r="L141" s="52"/>
      <c r="R141" s="52" t="str">
        <f t="shared" si="5"/>
        <v/>
      </c>
      <c r="S141" s="52"/>
      <c r="T141" s="52"/>
      <c r="U141" s="52"/>
      <c r="V141" s="52"/>
      <c r="W141" s="52"/>
      <c r="X141" s="114"/>
      <c r="Y141" s="56"/>
      <c r="Z141" s="115"/>
      <c r="AA141" s="116"/>
    </row>
    <row r="142" ht="15.75" customHeight="1">
      <c r="E142" s="112"/>
      <c r="F142" s="52" t="str">
        <f t="shared" si="6"/>
        <v/>
      </c>
      <c r="G142" s="52"/>
      <c r="H142" s="52"/>
      <c r="I142" s="52"/>
      <c r="J142" s="52"/>
      <c r="K142" s="52"/>
      <c r="L142" s="52"/>
      <c r="R142" s="52" t="str">
        <f t="shared" si="5"/>
        <v/>
      </c>
      <c r="S142" s="52"/>
      <c r="T142" s="52"/>
      <c r="U142" s="52"/>
      <c r="V142" s="52"/>
      <c r="W142" s="52"/>
      <c r="X142" s="114"/>
      <c r="Y142" s="56"/>
      <c r="Z142" s="115"/>
      <c r="AA142" s="116"/>
    </row>
    <row r="143" ht="15.75" customHeight="1">
      <c r="E143" s="112"/>
      <c r="F143" s="52" t="str">
        <f t="shared" si="6"/>
        <v/>
      </c>
      <c r="G143" s="52"/>
      <c r="H143" s="52"/>
      <c r="I143" s="52"/>
      <c r="J143" s="52"/>
      <c r="K143" s="52"/>
      <c r="L143" s="52"/>
      <c r="R143" s="52" t="str">
        <f t="shared" si="5"/>
        <v/>
      </c>
      <c r="S143" s="52"/>
      <c r="T143" s="52"/>
      <c r="U143" s="52"/>
      <c r="V143" s="52"/>
      <c r="W143" s="52"/>
      <c r="X143" s="114"/>
      <c r="Y143" s="56"/>
      <c r="Z143" s="115"/>
      <c r="AA143" s="116"/>
    </row>
    <row r="144" ht="15.75" customHeight="1">
      <c r="E144" s="112"/>
      <c r="F144" s="52" t="str">
        <f t="shared" si="6"/>
        <v/>
      </c>
      <c r="G144" s="52"/>
      <c r="H144" s="52"/>
      <c r="I144" s="52"/>
      <c r="J144" s="52"/>
      <c r="K144" s="52"/>
      <c r="L144" s="52"/>
      <c r="R144" s="52" t="str">
        <f t="shared" si="5"/>
        <v/>
      </c>
      <c r="S144" s="52"/>
      <c r="T144" s="52"/>
      <c r="U144" s="52"/>
      <c r="V144" s="52"/>
      <c r="W144" s="52"/>
      <c r="X144" s="114"/>
      <c r="Y144" s="56"/>
      <c r="Z144" s="115"/>
      <c r="AA144" s="116"/>
    </row>
    <row r="145" ht="15.75" customHeight="1">
      <c r="E145" s="112"/>
      <c r="F145" s="52" t="str">
        <f t="shared" si="6"/>
        <v/>
      </c>
      <c r="G145" s="52"/>
      <c r="H145" s="52"/>
      <c r="I145" s="52"/>
      <c r="J145" s="52"/>
      <c r="K145" s="52"/>
      <c r="L145" s="52"/>
      <c r="R145" s="52" t="str">
        <f t="shared" si="5"/>
        <v/>
      </c>
      <c r="S145" s="52"/>
      <c r="T145" s="52"/>
      <c r="U145" s="52"/>
      <c r="V145" s="52"/>
      <c r="W145" s="52"/>
      <c r="X145" s="114"/>
      <c r="Y145" s="56"/>
      <c r="Z145" s="115"/>
      <c r="AA145" s="116"/>
    </row>
    <row r="146" ht="15.75" customHeight="1">
      <c r="E146" s="112"/>
      <c r="F146" s="52" t="str">
        <f t="shared" si="6"/>
        <v/>
      </c>
      <c r="G146" s="52"/>
      <c r="H146" s="52"/>
      <c r="I146" s="52"/>
      <c r="J146" s="52"/>
      <c r="K146" s="52"/>
      <c r="L146" s="52"/>
      <c r="R146" s="52" t="str">
        <f t="shared" si="5"/>
        <v/>
      </c>
      <c r="S146" s="52"/>
      <c r="T146" s="52"/>
      <c r="U146" s="52"/>
      <c r="V146" s="52"/>
      <c r="W146" s="52"/>
      <c r="X146" s="114"/>
      <c r="Y146" s="56"/>
      <c r="Z146" s="115"/>
      <c r="AA146" s="116"/>
    </row>
    <row r="147" ht="15.75" customHeight="1">
      <c r="E147" s="112"/>
      <c r="F147" s="52" t="str">
        <f t="shared" si="6"/>
        <v/>
      </c>
      <c r="G147" s="52"/>
      <c r="H147" s="52"/>
      <c r="I147" s="52"/>
      <c r="J147" s="52"/>
      <c r="K147" s="52"/>
      <c r="L147" s="52"/>
      <c r="R147" s="52" t="str">
        <f t="shared" si="5"/>
        <v/>
      </c>
      <c r="S147" s="52"/>
      <c r="T147" s="52"/>
      <c r="U147" s="52"/>
      <c r="V147" s="52"/>
      <c r="W147" s="52"/>
      <c r="X147" s="114"/>
      <c r="Y147" s="56"/>
      <c r="Z147" s="115"/>
      <c r="AA147" s="116"/>
    </row>
    <row r="148" ht="15.75" customHeight="1">
      <c r="E148" s="112"/>
      <c r="F148" s="52" t="str">
        <f t="shared" si="6"/>
        <v/>
      </c>
      <c r="G148" s="52"/>
      <c r="H148" s="52"/>
      <c r="I148" s="52"/>
      <c r="J148" s="52"/>
      <c r="K148" s="52"/>
      <c r="L148" s="52"/>
      <c r="R148" s="52" t="str">
        <f t="shared" si="5"/>
        <v/>
      </c>
      <c r="S148" s="52"/>
      <c r="T148" s="52"/>
      <c r="U148" s="52"/>
      <c r="V148" s="52"/>
      <c r="W148" s="52"/>
      <c r="X148" s="114"/>
      <c r="Y148" s="56"/>
      <c r="Z148" s="115"/>
      <c r="AA148" s="116"/>
    </row>
    <row r="149" ht="15.75" customHeight="1">
      <c r="E149" s="112"/>
      <c r="F149" s="52" t="str">
        <f t="shared" si="6"/>
        <v/>
      </c>
      <c r="G149" s="52"/>
      <c r="H149" s="52"/>
      <c r="I149" s="52"/>
      <c r="J149" s="52"/>
      <c r="K149" s="52"/>
      <c r="L149" s="52"/>
      <c r="R149" s="52" t="str">
        <f t="shared" si="5"/>
        <v/>
      </c>
      <c r="S149" s="52"/>
      <c r="T149" s="52"/>
      <c r="U149" s="52"/>
      <c r="V149" s="52"/>
      <c r="W149" s="52"/>
      <c r="X149" s="114"/>
      <c r="Y149" s="56"/>
      <c r="Z149" s="115"/>
      <c r="AA149" s="116"/>
    </row>
    <row r="150" ht="15.75" customHeight="1">
      <c r="E150" s="112"/>
      <c r="F150" s="52" t="str">
        <f t="shared" si="6"/>
        <v/>
      </c>
      <c r="G150" s="52"/>
      <c r="H150" s="52"/>
      <c r="I150" s="52"/>
      <c r="J150" s="52"/>
      <c r="K150" s="52"/>
      <c r="L150" s="52"/>
      <c r="R150" s="52" t="str">
        <f t="shared" si="5"/>
        <v/>
      </c>
      <c r="S150" s="52"/>
      <c r="T150" s="52"/>
      <c r="U150" s="52"/>
      <c r="V150" s="52"/>
      <c r="W150" s="52"/>
      <c r="X150" s="114"/>
      <c r="Y150" s="56"/>
      <c r="Z150" s="115"/>
      <c r="AA150" s="116"/>
    </row>
    <row r="151" ht="15.75" customHeight="1">
      <c r="E151" s="112"/>
      <c r="F151" s="52" t="str">
        <f t="shared" si="6"/>
        <v/>
      </c>
      <c r="G151" s="52"/>
      <c r="H151" s="52"/>
      <c r="I151" s="52"/>
      <c r="J151" s="52"/>
      <c r="K151" s="52"/>
      <c r="L151" s="52"/>
      <c r="R151" s="52" t="str">
        <f t="shared" si="5"/>
        <v/>
      </c>
      <c r="S151" s="52"/>
      <c r="T151" s="52"/>
      <c r="U151" s="52"/>
      <c r="V151" s="52"/>
      <c r="W151" s="52"/>
      <c r="X151" s="114"/>
      <c r="Y151" s="56"/>
      <c r="Z151" s="115"/>
      <c r="AA151" s="116"/>
    </row>
    <row r="152" ht="15.75" customHeight="1">
      <c r="E152" s="112"/>
      <c r="F152" s="52" t="str">
        <f t="shared" si="6"/>
        <v/>
      </c>
      <c r="G152" s="52"/>
      <c r="H152" s="52"/>
      <c r="I152" s="52"/>
      <c r="J152" s="52"/>
      <c r="K152" s="52"/>
      <c r="L152" s="52"/>
      <c r="R152" s="52" t="str">
        <f t="shared" si="5"/>
        <v/>
      </c>
      <c r="S152" s="52"/>
      <c r="T152" s="52"/>
      <c r="U152" s="52"/>
      <c r="V152" s="52"/>
      <c r="W152" s="52"/>
      <c r="X152" s="114"/>
      <c r="Y152" s="56"/>
      <c r="Z152" s="115"/>
      <c r="AA152" s="116"/>
    </row>
    <row r="153" ht="15.75" customHeight="1">
      <c r="E153" s="112"/>
      <c r="F153" s="52" t="str">
        <f t="shared" si="6"/>
        <v/>
      </c>
      <c r="G153" s="52"/>
      <c r="H153" s="52"/>
      <c r="I153" s="52"/>
      <c r="J153" s="52"/>
      <c r="K153" s="52"/>
      <c r="L153" s="52"/>
      <c r="R153" s="52" t="str">
        <f t="shared" si="5"/>
        <v/>
      </c>
      <c r="S153" s="52"/>
      <c r="T153" s="52"/>
      <c r="U153" s="52"/>
      <c r="V153" s="52"/>
      <c r="W153" s="52"/>
      <c r="X153" s="114"/>
      <c r="Y153" s="56"/>
      <c r="Z153" s="115"/>
      <c r="AA153" s="116"/>
    </row>
    <row r="154" ht="15.75" customHeight="1">
      <c r="E154" s="112"/>
      <c r="F154" s="52" t="str">
        <f t="shared" si="6"/>
        <v/>
      </c>
      <c r="G154" s="52"/>
      <c r="H154" s="52"/>
      <c r="I154" s="52"/>
      <c r="J154" s="52"/>
      <c r="K154" s="52"/>
      <c r="L154" s="52"/>
      <c r="R154" s="52" t="str">
        <f t="shared" si="5"/>
        <v/>
      </c>
      <c r="S154" s="52"/>
      <c r="T154" s="52"/>
      <c r="U154" s="52"/>
      <c r="V154" s="52"/>
      <c r="W154" s="52"/>
      <c r="X154" s="114"/>
      <c r="Y154" s="56"/>
      <c r="Z154" s="115"/>
      <c r="AA154" s="116"/>
    </row>
    <row r="155" ht="15.75" customHeight="1">
      <c r="E155" s="112"/>
      <c r="F155" s="52" t="str">
        <f t="shared" si="6"/>
        <v/>
      </c>
      <c r="G155" s="52"/>
      <c r="H155" s="52"/>
      <c r="I155" s="52"/>
      <c r="J155" s="52"/>
      <c r="K155" s="52"/>
      <c r="L155" s="52"/>
      <c r="R155" s="52" t="str">
        <f t="shared" si="5"/>
        <v/>
      </c>
      <c r="S155" s="52"/>
      <c r="T155" s="52"/>
      <c r="U155" s="52"/>
      <c r="V155" s="52"/>
      <c r="W155" s="52"/>
      <c r="X155" s="114"/>
      <c r="Y155" s="56"/>
      <c r="Z155" s="115"/>
      <c r="AA155" s="116"/>
    </row>
    <row r="156" ht="15.75" customHeight="1">
      <c r="E156" s="112"/>
      <c r="F156" s="52" t="str">
        <f t="shared" si="6"/>
        <v/>
      </c>
      <c r="G156" s="52"/>
      <c r="H156" s="52"/>
      <c r="I156" s="52"/>
      <c r="J156" s="52"/>
      <c r="K156" s="52"/>
      <c r="L156" s="52"/>
      <c r="R156" s="52" t="str">
        <f t="shared" si="5"/>
        <v/>
      </c>
      <c r="S156" s="52"/>
      <c r="T156" s="52"/>
      <c r="U156" s="52"/>
      <c r="V156" s="52"/>
      <c r="W156" s="52"/>
      <c r="X156" s="114"/>
      <c r="Y156" s="56"/>
      <c r="Z156" s="115"/>
      <c r="AA156" s="116"/>
    </row>
    <row r="157" ht="15.75" customHeight="1">
      <c r="E157" s="112"/>
      <c r="F157" s="52" t="str">
        <f t="shared" si="6"/>
        <v/>
      </c>
      <c r="G157" s="52"/>
      <c r="H157" s="52"/>
      <c r="I157" s="52"/>
      <c r="J157" s="52"/>
      <c r="K157" s="52"/>
      <c r="L157" s="52"/>
      <c r="R157" s="52" t="str">
        <f t="shared" si="5"/>
        <v/>
      </c>
      <c r="S157" s="52"/>
      <c r="T157" s="52"/>
      <c r="U157" s="52"/>
      <c r="V157" s="52"/>
      <c r="W157" s="52"/>
      <c r="X157" s="114"/>
      <c r="Y157" s="56"/>
      <c r="Z157" s="115"/>
      <c r="AA157" s="116"/>
    </row>
    <row r="158" ht="15.75" customHeight="1">
      <c r="E158" s="112"/>
      <c r="F158" s="52" t="str">
        <f t="shared" si="6"/>
        <v/>
      </c>
      <c r="G158" s="52"/>
      <c r="H158" s="52"/>
      <c r="I158" s="52"/>
      <c r="J158" s="52"/>
      <c r="K158" s="52"/>
      <c r="L158" s="52"/>
      <c r="R158" s="52" t="str">
        <f t="shared" si="5"/>
        <v/>
      </c>
      <c r="S158" s="52"/>
      <c r="T158" s="52"/>
      <c r="U158" s="52"/>
      <c r="V158" s="52"/>
      <c r="W158" s="52"/>
      <c r="X158" s="114"/>
      <c r="Y158" s="56"/>
      <c r="Z158" s="115"/>
      <c r="AA158" s="116"/>
    </row>
    <row r="159" ht="15.75" customHeight="1">
      <c r="E159" s="112"/>
      <c r="F159" s="52" t="str">
        <f t="shared" si="6"/>
        <v/>
      </c>
      <c r="G159" s="52"/>
      <c r="H159" s="52"/>
      <c r="I159" s="52"/>
      <c r="J159" s="52"/>
      <c r="K159" s="52"/>
      <c r="L159" s="52"/>
      <c r="R159" s="52" t="str">
        <f t="shared" si="5"/>
        <v/>
      </c>
      <c r="S159" s="52"/>
      <c r="T159" s="52"/>
      <c r="U159" s="52"/>
      <c r="V159" s="52"/>
      <c r="W159" s="52"/>
      <c r="X159" s="114"/>
      <c r="Y159" s="56"/>
      <c r="Z159" s="115"/>
      <c r="AA159" s="116"/>
    </row>
    <row r="160" ht="15.75" customHeight="1">
      <c r="E160" s="112"/>
      <c r="F160" s="52" t="str">
        <f t="shared" si="6"/>
        <v/>
      </c>
      <c r="G160" s="52"/>
      <c r="H160" s="52"/>
      <c r="I160" s="52"/>
      <c r="J160" s="52"/>
      <c r="K160" s="52"/>
      <c r="L160" s="52"/>
      <c r="R160" s="52" t="str">
        <f t="shared" si="5"/>
        <v/>
      </c>
      <c r="S160" s="52"/>
      <c r="T160" s="52"/>
      <c r="U160" s="52"/>
      <c r="V160" s="52"/>
      <c r="W160" s="52"/>
      <c r="X160" s="114"/>
      <c r="Y160" s="56"/>
      <c r="Z160" s="115"/>
      <c r="AA160" s="116"/>
    </row>
    <row r="161" ht="15.75" customHeight="1">
      <c r="E161" s="112"/>
      <c r="F161" s="52" t="str">
        <f t="shared" si="6"/>
        <v/>
      </c>
      <c r="G161" s="52"/>
      <c r="H161" s="52"/>
      <c r="I161" s="52"/>
      <c r="J161" s="52"/>
      <c r="K161" s="52"/>
      <c r="L161" s="52"/>
      <c r="R161" s="52" t="str">
        <f t="shared" si="5"/>
        <v/>
      </c>
      <c r="S161" s="52"/>
      <c r="T161" s="52"/>
      <c r="U161" s="52"/>
      <c r="V161" s="52"/>
      <c r="W161" s="52"/>
      <c r="X161" s="114"/>
      <c r="Y161" s="56"/>
      <c r="Z161" s="115"/>
      <c r="AA161" s="116"/>
    </row>
    <row r="162" ht="15.75" customHeight="1">
      <c r="E162" s="112"/>
      <c r="F162" s="52" t="str">
        <f t="shared" si="6"/>
        <v/>
      </c>
      <c r="G162" s="52"/>
      <c r="H162" s="52"/>
      <c r="I162" s="52"/>
      <c r="J162" s="52"/>
      <c r="K162" s="52"/>
      <c r="L162" s="52"/>
      <c r="R162" s="52" t="str">
        <f t="shared" si="5"/>
        <v/>
      </c>
      <c r="S162" s="52"/>
      <c r="T162" s="52"/>
      <c r="U162" s="52"/>
      <c r="V162" s="52"/>
      <c r="W162" s="52"/>
      <c r="X162" s="114"/>
      <c r="Y162" s="56"/>
      <c r="Z162" s="115"/>
      <c r="AA162" s="116"/>
    </row>
    <row r="163" ht="15.75" customHeight="1">
      <c r="E163" s="112"/>
      <c r="F163" s="52" t="str">
        <f t="shared" si="6"/>
        <v/>
      </c>
      <c r="G163" s="52"/>
      <c r="H163" s="52"/>
      <c r="I163" s="52"/>
      <c r="J163" s="52"/>
      <c r="K163" s="52"/>
      <c r="L163" s="52"/>
      <c r="R163" s="52" t="str">
        <f t="shared" si="5"/>
        <v/>
      </c>
      <c r="S163" s="52"/>
      <c r="T163" s="52"/>
      <c r="U163" s="52"/>
      <c r="V163" s="52"/>
      <c r="W163" s="52"/>
      <c r="X163" s="114"/>
      <c r="Y163" s="56"/>
      <c r="Z163" s="115"/>
      <c r="AA163" s="116"/>
    </row>
    <row r="164" ht="15.75" customHeight="1">
      <c r="E164" s="112"/>
      <c r="F164" s="52" t="str">
        <f t="shared" si="6"/>
        <v/>
      </c>
      <c r="G164" s="52"/>
      <c r="H164" s="52"/>
      <c r="I164" s="52"/>
      <c r="J164" s="52"/>
      <c r="K164" s="52"/>
      <c r="L164" s="52"/>
      <c r="R164" s="52" t="str">
        <f t="shared" si="5"/>
        <v/>
      </c>
      <c r="S164" s="52"/>
      <c r="T164" s="52"/>
      <c r="U164" s="52"/>
      <c r="V164" s="52"/>
      <c r="W164" s="52"/>
      <c r="X164" s="114"/>
      <c r="Y164" s="56"/>
      <c r="Z164" s="115"/>
      <c r="AA164" s="116"/>
    </row>
    <row r="165" ht="15.75" customHeight="1">
      <c r="E165" s="112"/>
      <c r="F165" s="52" t="str">
        <f t="shared" si="6"/>
        <v/>
      </c>
      <c r="G165" s="52"/>
      <c r="H165" s="52"/>
      <c r="I165" s="52"/>
      <c r="J165" s="52"/>
      <c r="K165" s="52"/>
      <c r="L165" s="52"/>
      <c r="R165" s="52" t="str">
        <f t="shared" si="5"/>
        <v/>
      </c>
      <c r="S165" s="52"/>
      <c r="T165" s="52"/>
      <c r="U165" s="52"/>
      <c r="V165" s="52"/>
      <c r="W165" s="52"/>
      <c r="X165" s="114"/>
      <c r="Y165" s="56"/>
      <c r="Z165" s="115"/>
      <c r="AA165" s="116"/>
    </row>
    <row r="166" ht="15.75" customHeight="1">
      <c r="E166" s="112"/>
      <c r="F166" s="52" t="str">
        <f t="shared" si="6"/>
        <v/>
      </c>
      <c r="G166" s="52"/>
      <c r="H166" s="52"/>
      <c r="I166" s="52"/>
      <c r="J166" s="52"/>
      <c r="K166" s="52"/>
      <c r="L166" s="52"/>
      <c r="R166" s="52" t="str">
        <f t="shared" si="5"/>
        <v/>
      </c>
      <c r="S166" s="52"/>
      <c r="T166" s="52"/>
      <c r="U166" s="52"/>
      <c r="V166" s="52"/>
      <c r="W166" s="52"/>
      <c r="X166" s="114"/>
      <c r="Y166" s="56"/>
      <c r="Z166" s="115"/>
      <c r="AA166" s="116"/>
    </row>
    <row r="167" ht="15.75" customHeight="1">
      <c r="E167" s="112"/>
      <c r="F167" s="52" t="str">
        <f t="shared" si="6"/>
        <v/>
      </c>
      <c r="G167" s="52"/>
      <c r="H167" s="52"/>
      <c r="I167" s="52"/>
      <c r="J167" s="52"/>
      <c r="K167" s="52"/>
      <c r="L167" s="52"/>
      <c r="R167" s="52" t="str">
        <f t="shared" si="5"/>
        <v/>
      </c>
      <c r="S167" s="52"/>
      <c r="T167" s="52"/>
      <c r="U167" s="52"/>
      <c r="V167" s="52"/>
      <c r="W167" s="52"/>
      <c r="X167" s="114"/>
      <c r="Y167" s="56"/>
      <c r="Z167" s="115"/>
      <c r="AA167" s="116"/>
    </row>
    <row r="168" ht="15.75" customHeight="1">
      <c r="E168" s="112"/>
      <c r="F168" s="52" t="str">
        <f t="shared" si="6"/>
        <v/>
      </c>
      <c r="G168" s="52"/>
      <c r="H168" s="52"/>
      <c r="I168" s="52"/>
      <c r="J168" s="52"/>
      <c r="K168" s="52"/>
      <c r="L168" s="52"/>
      <c r="R168" s="52" t="str">
        <f t="shared" si="5"/>
        <v/>
      </c>
      <c r="S168" s="52"/>
      <c r="T168" s="52"/>
      <c r="U168" s="52"/>
      <c r="V168" s="52"/>
      <c r="W168" s="52"/>
      <c r="X168" s="114"/>
      <c r="Y168" s="56"/>
      <c r="Z168" s="115"/>
      <c r="AA168" s="116"/>
    </row>
    <row r="169" ht="15.75" customHeight="1">
      <c r="E169" s="112"/>
      <c r="F169" s="52" t="str">
        <f t="shared" si="6"/>
        <v/>
      </c>
      <c r="G169" s="52"/>
      <c r="H169" s="52"/>
      <c r="I169" s="52"/>
      <c r="J169" s="52"/>
      <c r="K169" s="52"/>
      <c r="L169" s="52"/>
      <c r="R169" s="52" t="str">
        <f t="shared" si="5"/>
        <v/>
      </c>
      <c r="S169" s="52"/>
      <c r="T169" s="52"/>
      <c r="U169" s="52"/>
      <c r="V169" s="52"/>
      <c r="W169" s="52"/>
      <c r="X169" s="114"/>
      <c r="Y169" s="56"/>
      <c r="Z169" s="115"/>
      <c r="AA169" s="116"/>
    </row>
    <row r="170" ht="15.75" customHeight="1">
      <c r="E170" s="112"/>
      <c r="F170" s="52" t="str">
        <f t="shared" si="6"/>
        <v/>
      </c>
      <c r="G170" s="52"/>
      <c r="H170" s="52"/>
      <c r="I170" s="52"/>
      <c r="J170" s="52"/>
      <c r="K170" s="52"/>
      <c r="L170" s="52"/>
      <c r="R170" s="52" t="str">
        <f t="shared" si="5"/>
        <v/>
      </c>
      <c r="S170" s="52"/>
      <c r="T170" s="52"/>
      <c r="U170" s="52"/>
      <c r="V170" s="52"/>
      <c r="W170" s="52"/>
      <c r="X170" s="114"/>
      <c r="Y170" s="56"/>
      <c r="Z170" s="115"/>
      <c r="AA170" s="116"/>
    </row>
    <row r="171" ht="15.75" customHeight="1">
      <c r="E171" s="112"/>
      <c r="F171" s="52" t="str">
        <f t="shared" si="6"/>
        <v/>
      </c>
      <c r="G171" s="52"/>
      <c r="H171" s="52"/>
      <c r="I171" s="52"/>
      <c r="J171" s="52"/>
      <c r="K171" s="52"/>
      <c r="L171" s="52"/>
      <c r="R171" s="52" t="str">
        <f t="shared" si="5"/>
        <v/>
      </c>
      <c r="S171" s="52"/>
      <c r="T171" s="52"/>
      <c r="U171" s="52"/>
      <c r="V171" s="52"/>
      <c r="W171" s="52"/>
      <c r="X171" s="114"/>
      <c r="Y171" s="56"/>
      <c r="Z171" s="115"/>
      <c r="AA171" s="116"/>
    </row>
    <row r="172" ht="15.75" customHeight="1">
      <c r="E172" s="112"/>
      <c r="F172" s="52" t="str">
        <f t="shared" si="6"/>
        <v/>
      </c>
      <c r="G172" s="52"/>
      <c r="H172" s="52"/>
      <c r="I172" s="52"/>
      <c r="J172" s="52"/>
      <c r="K172" s="52"/>
      <c r="L172" s="52"/>
      <c r="R172" s="52" t="str">
        <f t="shared" si="5"/>
        <v/>
      </c>
      <c r="S172" s="52"/>
      <c r="T172" s="52"/>
      <c r="U172" s="52"/>
      <c r="V172" s="52"/>
      <c r="W172" s="52"/>
      <c r="X172" s="114"/>
      <c r="Y172" s="56"/>
      <c r="Z172" s="115"/>
      <c r="AA172" s="116"/>
    </row>
    <row r="173" ht="15.75" customHeight="1">
      <c r="E173" s="112"/>
      <c r="F173" s="52" t="str">
        <f t="shared" si="6"/>
        <v/>
      </c>
      <c r="G173" s="52"/>
      <c r="H173" s="52"/>
      <c r="I173" s="52"/>
      <c r="J173" s="52"/>
      <c r="K173" s="52"/>
      <c r="L173" s="52"/>
      <c r="R173" s="52" t="str">
        <f t="shared" si="5"/>
        <v/>
      </c>
      <c r="S173" s="52"/>
      <c r="T173" s="52"/>
      <c r="U173" s="52"/>
      <c r="V173" s="52"/>
      <c r="W173" s="52"/>
      <c r="X173" s="114"/>
      <c r="Y173" s="56"/>
      <c r="Z173" s="115"/>
      <c r="AA173" s="116"/>
    </row>
    <row r="174" ht="15.75" customHeight="1">
      <c r="E174" s="112"/>
      <c r="F174" s="52" t="str">
        <f t="shared" si="6"/>
        <v/>
      </c>
      <c r="G174" s="52"/>
      <c r="H174" s="52"/>
      <c r="I174" s="52"/>
      <c r="J174" s="52"/>
      <c r="K174" s="52"/>
      <c r="L174" s="52"/>
      <c r="R174" s="52" t="str">
        <f t="shared" si="5"/>
        <v/>
      </c>
      <c r="S174" s="52"/>
      <c r="T174" s="52"/>
      <c r="U174" s="52"/>
      <c r="V174" s="52"/>
      <c r="W174" s="52"/>
      <c r="X174" s="114"/>
      <c r="Y174" s="56"/>
      <c r="Z174" s="115"/>
      <c r="AA174" s="116"/>
    </row>
    <row r="175" ht="15.75" customHeight="1">
      <c r="E175" s="112"/>
      <c r="F175" s="52" t="str">
        <f t="shared" si="6"/>
        <v/>
      </c>
      <c r="G175" s="52"/>
      <c r="H175" s="52"/>
      <c r="I175" s="52"/>
      <c r="J175" s="52"/>
      <c r="K175" s="52"/>
      <c r="L175" s="52"/>
      <c r="R175" s="52" t="str">
        <f t="shared" si="5"/>
        <v/>
      </c>
      <c r="S175" s="52"/>
      <c r="T175" s="52"/>
      <c r="U175" s="52"/>
      <c r="V175" s="52"/>
      <c r="W175" s="52"/>
      <c r="X175" s="114"/>
      <c r="Y175" s="56"/>
      <c r="Z175" s="115"/>
      <c r="AA175" s="116"/>
    </row>
    <row r="176" ht="15.75" customHeight="1">
      <c r="E176" s="112"/>
      <c r="F176" s="52" t="str">
        <f t="shared" si="6"/>
        <v/>
      </c>
      <c r="G176" s="52"/>
      <c r="H176" s="52"/>
      <c r="I176" s="52"/>
      <c r="J176" s="52"/>
      <c r="K176" s="52"/>
      <c r="L176" s="52"/>
      <c r="R176" s="52" t="str">
        <f t="shared" si="5"/>
        <v/>
      </c>
      <c r="S176" s="52"/>
      <c r="T176" s="52"/>
      <c r="U176" s="52"/>
      <c r="V176" s="52"/>
      <c r="W176" s="52"/>
      <c r="X176" s="114"/>
      <c r="Y176" s="56"/>
      <c r="Z176" s="115"/>
      <c r="AA176" s="116"/>
    </row>
    <row r="177" ht="15.75" customHeight="1">
      <c r="E177" s="112"/>
      <c r="F177" s="52" t="str">
        <f t="shared" si="6"/>
        <v/>
      </c>
      <c r="G177" s="52"/>
      <c r="H177" s="52"/>
      <c r="I177" s="52"/>
      <c r="J177" s="52"/>
      <c r="K177" s="52"/>
      <c r="L177" s="52"/>
      <c r="R177" s="52" t="str">
        <f t="shared" si="5"/>
        <v/>
      </c>
      <c r="S177" s="52"/>
      <c r="T177" s="52"/>
      <c r="U177" s="52"/>
      <c r="V177" s="52"/>
      <c r="W177" s="52"/>
      <c r="X177" s="114"/>
      <c r="Y177" s="56"/>
      <c r="Z177" s="115"/>
      <c r="AA177" s="116"/>
    </row>
    <row r="178" ht="15.75" customHeight="1">
      <c r="E178" s="112"/>
      <c r="F178" s="52" t="str">
        <f t="shared" si="6"/>
        <v/>
      </c>
      <c r="G178" s="52"/>
      <c r="H178" s="52"/>
      <c r="I178" s="52"/>
      <c r="J178" s="52"/>
      <c r="K178" s="52"/>
      <c r="L178" s="52"/>
      <c r="R178" s="52" t="str">
        <f t="shared" si="5"/>
        <v/>
      </c>
      <c r="S178" s="52"/>
      <c r="T178" s="52"/>
      <c r="U178" s="52"/>
      <c r="V178" s="52"/>
      <c r="W178" s="52"/>
      <c r="X178" s="114"/>
      <c r="Y178" s="56"/>
      <c r="Z178" s="115"/>
      <c r="AA178" s="116"/>
    </row>
    <row r="179" ht="15.75" customHeight="1">
      <c r="E179" s="112"/>
      <c r="F179" s="52" t="str">
        <f t="shared" si="6"/>
        <v/>
      </c>
      <c r="G179" s="52"/>
      <c r="H179" s="52"/>
      <c r="I179" s="52"/>
      <c r="J179" s="52"/>
      <c r="K179" s="52"/>
      <c r="L179" s="52"/>
      <c r="R179" s="52" t="str">
        <f t="shared" si="5"/>
        <v/>
      </c>
      <c r="S179" s="52"/>
      <c r="T179" s="52"/>
      <c r="U179" s="52"/>
      <c r="V179" s="52"/>
      <c r="W179" s="52"/>
      <c r="X179" s="114"/>
      <c r="Y179" s="56"/>
      <c r="Z179" s="115"/>
      <c r="AA179" s="116"/>
    </row>
    <row r="180" ht="15.75" customHeight="1">
      <c r="E180" s="112"/>
      <c r="F180" s="52" t="str">
        <f t="shared" si="6"/>
        <v/>
      </c>
      <c r="G180" s="52"/>
      <c r="H180" s="52"/>
      <c r="I180" s="52"/>
      <c r="J180" s="52"/>
      <c r="K180" s="52"/>
      <c r="L180" s="52"/>
      <c r="R180" s="52" t="str">
        <f t="shared" si="5"/>
        <v/>
      </c>
      <c r="S180" s="52"/>
      <c r="T180" s="52"/>
      <c r="U180" s="52"/>
      <c r="V180" s="52"/>
      <c r="W180" s="52"/>
      <c r="X180" s="114"/>
      <c r="Y180" s="56"/>
      <c r="Z180" s="115"/>
      <c r="AA180" s="116"/>
    </row>
    <row r="181" ht="15.75" customHeight="1">
      <c r="E181" s="112"/>
      <c r="F181" s="52" t="str">
        <f t="shared" si="6"/>
        <v/>
      </c>
      <c r="G181" s="52"/>
      <c r="H181" s="52"/>
      <c r="I181" s="52"/>
      <c r="J181" s="52"/>
      <c r="K181" s="52"/>
      <c r="L181" s="52"/>
      <c r="R181" s="52" t="str">
        <f t="shared" si="5"/>
        <v/>
      </c>
      <c r="S181" s="52"/>
      <c r="T181" s="52"/>
      <c r="U181" s="52"/>
      <c r="V181" s="52"/>
      <c r="W181" s="52"/>
      <c r="X181" s="114"/>
      <c r="Y181" s="56"/>
      <c r="Z181" s="115"/>
      <c r="AA181" s="116"/>
    </row>
    <row r="182" ht="15.75" customHeight="1">
      <c r="E182" s="112"/>
      <c r="F182" s="52" t="str">
        <f t="shared" si="6"/>
        <v/>
      </c>
      <c r="G182" s="52"/>
      <c r="H182" s="52"/>
      <c r="I182" s="52"/>
      <c r="J182" s="52"/>
      <c r="K182" s="52"/>
      <c r="L182" s="52"/>
      <c r="R182" s="52" t="str">
        <f t="shared" si="5"/>
        <v/>
      </c>
      <c r="S182" s="52"/>
      <c r="T182" s="52"/>
      <c r="U182" s="52"/>
      <c r="V182" s="52"/>
      <c r="W182" s="52"/>
      <c r="X182" s="114"/>
      <c r="Y182" s="56"/>
      <c r="Z182" s="115"/>
      <c r="AA182" s="116"/>
    </row>
    <row r="183" ht="15.75" customHeight="1">
      <c r="E183" s="112"/>
      <c r="F183" s="52" t="str">
        <f t="shared" si="6"/>
        <v/>
      </c>
      <c r="G183" s="52"/>
      <c r="H183" s="52"/>
      <c r="I183" s="52"/>
      <c r="J183" s="52"/>
      <c r="K183" s="52"/>
      <c r="L183" s="52"/>
      <c r="R183" s="52" t="str">
        <f t="shared" si="5"/>
        <v/>
      </c>
      <c r="S183" s="52"/>
      <c r="T183" s="52"/>
      <c r="U183" s="52"/>
      <c r="V183" s="52"/>
      <c r="W183" s="52"/>
      <c r="X183" s="114"/>
      <c r="Y183" s="56"/>
      <c r="Z183" s="115"/>
      <c r="AA183" s="116"/>
    </row>
    <row r="184" ht="15.75" customHeight="1">
      <c r="E184" s="112"/>
      <c r="F184" s="52" t="str">
        <f t="shared" si="6"/>
        <v/>
      </c>
      <c r="G184" s="52"/>
      <c r="H184" s="52"/>
      <c r="I184" s="52"/>
      <c r="J184" s="52"/>
      <c r="K184" s="52"/>
      <c r="L184" s="52"/>
      <c r="R184" s="52" t="str">
        <f t="shared" si="5"/>
        <v/>
      </c>
      <c r="S184" s="52"/>
      <c r="T184" s="52"/>
      <c r="U184" s="52"/>
      <c r="V184" s="52"/>
      <c r="W184" s="52"/>
      <c r="X184" s="114"/>
      <c r="Y184" s="56"/>
      <c r="Z184" s="115"/>
      <c r="AA184" s="116"/>
    </row>
    <row r="185" ht="15.75" customHeight="1">
      <c r="E185" s="112"/>
      <c r="F185" s="52" t="str">
        <f t="shared" si="6"/>
        <v/>
      </c>
      <c r="G185" s="52"/>
      <c r="H185" s="52"/>
      <c r="I185" s="52"/>
      <c r="J185" s="52"/>
      <c r="K185" s="52"/>
      <c r="L185" s="52"/>
      <c r="R185" s="52" t="str">
        <f t="shared" si="5"/>
        <v/>
      </c>
      <c r="S185" s="52"/>
      <c r="T185" s="52"/>
      <c r="U185" s="52"/>
      <c r="V185" s="52"/>
      <c r="W185" s="52"/>
      <c r="X185" s="114"/>
      <c r="Y185" s="56"/>
      <c r="Z185" s="115"/>
      <c r="AA185" s="116"/>
    </row>
    <row r="186" ht="15.75" customHeight="1">
      <c r="E186" s="112"/>
      <c r="F186" s="52" t="str">
        <f t="shared" si="6"/>
        <v/>
      </c>
      <c r="G186" s="52"/>
      <c r="H186" s="52"/>
      <c r="I186" s="52"/>
      <c r="J186" s="52"/>
      <c r="K186" s="52"/>
      <c r="L186" s="52"/>
      <c r="R186" s="52" t="str">
        <f t="shared" si="5"/>
        <v/>
      </c>
      <c r="S186" s="52"/>
      <c r="T186" s="52"/>
      <c r="U186" s="52"/>
      <c r="V186" s="52"/>
      <c r="W186" s="52"/>
      <c r="X186" s="114"/>
      <c r="Y186" s="56"/>
      <c r="Z186" s="115"/>
      <c r="AA186" s="116"/>
    </row>
    <row r="187" ht="15.75" customHeight="1">
      <c r="E187" s="112"/>
      <c r="F187" s="52" t="str">
        <f t="shared" si="6"/>
        <v/>
      </c>
      <c r="G187" s="52"/>
      <c r="H187" s="52"/>
      <c r="I187" s="52"/>
      <c r="J187" s="52"/>
      <c r="K187" s="52"/>
      <c r="L187" s="52"/>
      <c r="R187" s="52" t="str">
        <f t="shared" si="5"/>
        <v/>
      </c>
      <c r="S187" s="52"/>
      <c r="T187" s="52"/>
      <c r="U187" s="52"/>
      <c r="V187" s="52"/>
      <c r="W187" s="52"/>
      <c r="X187" s="114"/>
      <c r="Y187" s="56"/>
      <c r="Z187" s="115"/>
      <c r="AA187" s="116"/>
    </row>
    <row r="188" ht="15.75" customHeight="1">
      <c r="E188" s="112"/>
      <c r="F188" s="52" t="str">
        <f t="shared" si="6"/>
        <v/>
      </c>
      <c r="G188" s="52"/>
      <c r="H188" s="52"/>
      <c r="I188" s="52"/>
      <c r="J188" s="52"/>
      <c r="K188" s="52"/>
      <c r="L188" s="52"/>
      <c r="R188" s="52" t="str">
        <f t="shared" si="5"/>
        <v/>
      </c>
      <c r="S188" s="52"/>
      <c r="T188" s="52"/>
      <c r="U188" s="52"/>
      <c r="V188" s="52"/>
      <c r="W188" s="52"/>
      <c r="X188" s="114"/>
      <c r="Y188" s="56"/>
      <c r="Z188" s="115"/>
      <c r="AA188" s="116"/>
    </row>
    <row r="189" ht="15.75" customHeight="1">
      <c r="E189" s="112"/>
      <c r="F189" s="52" t="str">
        <f t="shared" si="6"/>
        <v/>
      </c>
      <c r="G189" s="52"/>
      <c r="H189" s="52"/>
      <c r="I189" s="52"/>
      <c r="J189" s="52"/>
      <c r="K189" s="52"/>
      <c r="L189" s="52"/>
      <c r="R189" s="52" t="str">
        <f t="shared" si="5"/>
        <v/>
      </c>
      <c r="S189" s="52"/>
      <c r="T189" s="52"/>
      <c r="U189" s="52"/>
      <c r="V189" s="52"/>
      <c r="W189" s="52"/>
      <c r="X189" s="114"/>
      <c r="Y189" s="56"/>
      <c r="Z189" s="115"/>
      <c r="AA189" s="116"/>
    </row>
    <row r="190" ht="15.75" customHeight="1">
      <c r="E190" s="112"/>
      <c r="F190" s="52" t="str">
        <f t="shared" si="6"/>
        <v/>
      </c>
      <c r="G190" s="52"/>
      <c r="H190" s="52"/>
      <c r="I190" s="52"/>
      <c r="J190" s="52"/>
      <c r="K190" s="52"/>
      <c r="L190" s="52"/>
      <c r="R190" s="52" t="str">
        <f t="shared" si="5"/>
        <v/>
      </c>
      <c r="S190" s="52"/>
      <c r="T190" s="52"/>
      <c r="U190" s="52"/>
      <c r="V190" s="52"/>
      <c r="W190" s="52"/>
      <c r="X190" s="114"/>
      <c r="Y190" s="56"/>
      <c r="Z190" s="115"/>
      <c r="AA190" s="116"/>
    </row>
    <row r="191" ht="15.75" customHeight="1">
      <c r="E191" s="112"/>
      <c r="F191" s="52" t="str">
        <f t="shared" si="6"/>
        <v/>
      </c>
      <c r="G191" s="52"/>
      <c r="H191" s="52"/>
      <c r="I191" s="52"/>
      <c r="J191" s="52"/>
      <c r="K191" s="52"/>
      <c r="L191" s="52"/>
      <c r="R191" s="52" t="str">
        <f t="shared" si="5"/>
        <v/>
      </c>
      <c r="S191" s="52"/>
      <c r="T191" s="52"/>
      <c r="U191" s="52"/>
      <c r="V191" s="52"/>
      <c r="W191" s="52"/>
      <c r="X191" s="114"/>
      <c r="Y191" s="56"/>
      <c r="Z191" s="115"/>
      <c r="AA191" s="116"/>
    </row>
    <row r="192" ht="15.75" customHeight="1">
      <c r="E192" s="112"/>
      <c r="F192" s="52" t="str">
        <f t="shared" si="6"/>
        <v/>
      </c>
      <c r="G192" s="52"/>
      <c r="H192" s="52"/>
      <c r="I192" s="52"/>
      <c r="J192" s="52"/>
      <c r="K192" s="52"/>
      <c r="L192" s="52"/>
      <c r="R192" s="52" t="str">
        <f t="shared" si="5"/>
        <v/>
      </c>
      <c r="S192" s="52"/>
      <c r="T192" s="52"/>
      <c r="U192" s="52"/>
      <c r="V192" s="52"/>
      <c r="W192" s="52"/>
      <c r="X192" s="114"/>
      <c r="Y192" s="56"/>
      <c r="Z192" s="115"/>
      <c r="AA192" s="116"/>
    </row>
    <row r="193" ht="15.75" customHeight="1">
      <c r="E193" s="112"/>
      <c r="F193" s="52" t="str">
        <f t="shared" si="6"/>
        <v/>
      </c>
      <c r="G193" s="52"/>
      <c r="H193" s="52"/>
      <c r="I193" s="52"/>
      <c r="J193" s="52"/>
      <c r="K193" s="52"/>
      <c r="L193" s="52"/>
      <c r="R193" s="52" t="str">
        <f t="shared" si="5"/>
        <v/>
      </c>
      <c r="S193" s="52"/>
      <c r="T193" s="52"/>
      <c r="U193" s="52"/>
      <c r="V193" s="52"/>
      <c r="W193" s="52"/>
      <c r="X193" s="114"/>
      <c r="Y193" s="56"/>
      <c r="Z193" s="115"/>
      <c r="AA193" s="116"/>
    </row>
    <row r="194" ht="15.75" customHeight="1">
      <c r="E194" s="112"/>
      <c r="F194" s="52" t="str">
        <f t="shared" si="6"/>
        <v/>
      </c>
      <c r="G194" s="52"/>
      <c r="H194" s="52"/>
      <c r="I194" s="52"/>
      <c r="J194" s="52"/>
      <c r="K194" s="52"/>
      <c r="L194" s="52"/>
      <c r="R194" s="52" t="str">
        <f t="shared" si="5"/>
        <v/>
      </c>
      <c r="S194" s="52"/>
      <c r="T194" s="52"/>
      <c r="U194" s="52"/>
      <c r="V194" s="52"/>
      <c r="W194" s="52"/>
      <c r="X194" s="114"/>
      <c r="Y194" s="56"/>
      <c r="Z194" s="115"/>
      <c r="AA194" s="116"/>
    </row>
    <row r="195" ht="15.75" customHeight="1">
      <c r="E195" s="112"/>
      <c r="F195" s="52" t="str">
        <f t="shared" si="6"/>
        <v/>
      </c>
      <c r="G195" s="52"/>
      <c r="H195" s="52"/>
      <c r="I195" s="52"/>
      <c r="J195" s="52"/>
      <c r="K195" s="52"/>
      <c r="L195" s="52"/>
      <c r="R195" s="52" t="str">
        <f t="shared" si="5"/>
        <v/>
      </c>
      <c r="S195" s="52"/>
      <c r="T195" s="52"/>
      <c r="U195" s="52"/>
      <c r="V195" s="52"/>
      <c r="W195" s="52"/>
      <c r="X195" s="114"/>
      <c r="Y195" s="56"/>
      <c r="Z195" s="115"/>
      <c r="AA195" s="116"/>
    </row>
    <row r="196" ht="15.75" customHeight="1">
      <c r="E196" s="112"/>
      <c r="F196" s="52" t="str">
        <f t="shared" si="6"/>
        <v/>
      </c>
      <c r="G196" s="52"/>
      <c r="H196" s="52"/>
      <c r="I196" s="52"/>
      <c r="J196" s="52"/>
      <c r="K196" s="52"/>
      <c r="L196" s="52"/>
      <c r="R196" s="52" t="str">
        <f t="shared" si="5"/>
        <v/>
      </c>
      <c r="S196" s="52"/>
      <c r="T196" s="52"/>
      <c r="U196" s="52"/>
      <c r="V196" s="52"/>
      <c r="W196" s="52"/>
      <c r="X196" s="114"/>
      <c r="Y196" s="56"/>
      <c r="Z196" s="115"/>
      <c r="AA196" s="116"/>
    </row>
    <row r="197" ht="15.75" customHeight="1">
      <c r="E197" s="112"/>
      <c r="F197" s="52" t="str">
        <f t="shared" si="6"/>
        <v/>
      </c>
      <c r="G197" s="52"/>
      <c r="H197" s="52"/>
      <c r="I197" s="52"/>
      <c r="J197" s="52"/>
      <c r="K197" s="52"/>
      <c r="L197" s="52"/>
      <c r="R197" s="52" t="str">
        <f t="shared" si="5"/>
        <v/>
      </c>
      <c r="S197" s="52"/>
      <c r="T197" s="52"/>
      <c r="U197" s="52"/>
      <c r="V197" s="52"/>
      <c r="W197" s="52"/>
      <c r="X197" s="114"/>
      <c r="Y197" s="56"/>
      <c r="Z197" s="115"/>
      <c r="AA197" s="116"/>
    </row>
    <row r="198" ht="15.75" customHeight="1">
      <c r="E198" s="112"/>
      <c r="F198" s="52" t="str">
        <f t="shared" si="6"/>
        <v/>
      </c>
      <c r="G198" s="52"/>
      <c r="H198" s="52"/>
      <c r="I198" s="52"/>
      <c r="J198" s="52"/>
      <c r="K198" s="52"/>
      <c r="L198" s="52"/>
      <c r="R198" s="52" t="str">
        <f t="shared" si="5"/>
        <v/>
      </c>
      <c r="S198" s="52"/>
      <c r="T198" s="52"/>
      <c r="U198" s="52"/>
      <c r="V198" s="52"/>
      <c r="W198" s="52"/>
      <c r="X198" s="114"/>
      <c r="Y198" s="56"/>
      <c r="Z198" s="115"/>
      <c r="AA198" s="116"/>
    </row>
    <row r="199" ht="15.75" customHeight="1">
      <c r="Y199" s="117"/>
      <c r="Z199" s="118"/>
    </row>
    <row r="200" ht="15.75" customHeight="1">
      <c r="Y200" s="117"/>
      <c r="Z200" s="118"/>
    </row>
    <row r="201" ht="15.75" customHeight="1">
      <c r="Y201" s="117"/>
      <c r="Z201" s="118"/>
    </row>
    <row r="202" ht="15.75" customHeight="1">
      <c r="Y202" s="117"/>
      <c r="Z202" s="118"/>
    </row>
    <row r="203" ht="15.75" customHeight="1">
      <c r="Y203" s="117"/>
      <c r="Z203" s="118"/>
    </row>
    <row r="204" ht="15.75" customHeight="1">
      <c r="Y204" s="117"/>
      <c r="Z204" s="118"/>
    </row>
    <row r="205" ht="15.75" customHeight="1">
      <c r="Y205" s="117"/>
      <c r="Z205" s="118"/>
    </row>
    <row r="206" ht="15.75" customHeight="1">
      <c r="Y206" s="117"/>
      <c r="Z206" s="118"/>
    </row>
    <row r="207" ht="15.75" customHeight="1">
      <c r="Y207" s="117"/>
      <c r="Z207" s="118"/>
    </row>
    <row r="208" ht="15.75" customHeight="1">
      <c r="Y208" s="117"/>
      <c r="Z208" s="118"/>
    </row>
    <row r="209" ht="15.75" customHeight="1">
      <c r="Y209" s="117"/>
      <c r="Z209" s="118"/>
    </row>
    <row r="210" ht="15.75" customHeight="1">
      <c r="Y210" s="117"/>
      <c r="Z210" s="118"/>
    </row>
    <row r="211" ht="15.75" customHeight="1">
      <c r="Y211" s="117"/>
      <c r="Z211" s="118"/>
    </row>
    <row r="212" ht="15.75" customHeight="1">
      <c r="Y212" s="117"/>
      <c r="Z212" s="118"/>
    </row>
    <row r="213" ht="15.75" customHeight="1">
      <c r="Y213" s="117"/>
      <c r="Z213" s="118"/>
    </row>
    <row r="214" ht="15.75" customHeight="1">
      <c r="Y214" s="117"/>
      <c r="Z214" s="118"/>
    </row>
    <row r="215" ht="15.75" customHeight="1">
      <c r="Y215" s="117"/>
      <c r="Z215" s="118"/>
    </row>
    <row r="216" ht="15.75" customHeight="1">
      <c r="Y216" s="117"/>
      <c r="Z216" s="118"/>
    </row>
    <row r="217" ht="15.75" customHeight="1">
      <c r="Y217" s="117"/>
      <c r="Z217" s="118"/>
    </row>
    <row r="218" ht="15.75" customHeight="1">
      <c r="Y218" s="117"/>
      <c r="Z218" s="118"/>
    </row>
    <row r="219" ht="15.75" customHeight="1">
      <c r="Y219" s="117"/>
      <c r="Z219" s="118"/>
    </row>
    <row r="220" ht="15.75" customHeight="1">
      <c r="Y220" s="117"/>
      <c r="Z220" s="118"/>
    </row>
    <row r="221" ht="15.75" customHeight="1">
      <c r="Y221" s="117"/>
      <c r="Z221" s="118"/>
    </row>
    <row r="222" ht="15.75" customHeight="1">
      <c r="Y222" s="117"/>
      <c r="Z222" s="118"/>
    </row>
    <row r="223" ht="15.75" customHeight="1">
      <c r="Y223" s="117"/>
      <c r="Z223" s="118"/>
    </row>
    <row r="224" ht="15.75" customHeight="1">
      <c r="Y224" s="117"/>
      <c r="Z224" s="118"/>
    </row>
    <row r="225" ht="15.75" customHeight="1">
      <c r="Y225" s="117"/>
      <c r="Z225" s="118"/>
    </row>
    <row r="226" ht="15.75" customHeight="1">
      <c r="Y226" s="117"/>
      <c r="Z226" s="118"/>
    </row>
    <row r="227" ht="15.75" customHeight="1">
      <c r="Y227" s="117"/>
      <c r="Z227" s="118"/>
    </row>
    <row r="228" ht="15.75" customHeight="1">
      <c r="Y228" s="117"/>
      <c r="Z228" s="118"/>
    </row>
    <row r="229" ht="15.75" customHeight="1">
      <c r="Y229" s="117"/>
      <c r="Z229" s="118"/>
    </row>
    <row r="230" ht="15.75" customHeight="1">
      <c r="Y230" s="117"/>
      <c r="Z230" s="118"/>
    </row>
    <row r="231" ht="15.75" customHeight="1">
      <c r="Y231" s="117"/>
      <c r="Z231" s="118"/>
    </row>
    <row r="232" ht="15.75" customHeight="1">
      <c r="Y232" s="117"/>
      <c r="Z232" s="118"/>
    </row>
    <row r="233" ht="15.75" customHeight="1">
      <c r="Y233" s="117"/>
      <c r="Z233" s="118"/>
    </row>
    <row r="234" ht="15.75" customHeight="1">
      <c r="Y234" s="117"/>
      <c r="Z234" s="118"/>
    </row>
    <row r="235" ht="15.75" customHeight="1">
      <c r="Y235" s="117"/>
      <c r="Z235" s="118"/>
    </row>
    <row r="236" ht="15.75" customHeight="1">
      <c r="Y236" s="117"/>
      <c r="Z236" s="118"/>
    </row>
    <row r="237" ht="15.75" customHeight="1">
      <c r="Y237" s="117"/>
      <c r="Z237" s="118"/>
    </row>
    <row r="238" ht="15.75" customHeight="1">
      <c r="Y238" s="117"/>
      <c r="Z238" s="118"/>
    </row>
    <row r="239" ht="15.75" customHeight="1">
      <c r="Y239" s="117"/>
      <c r="Z239" s="118"/>
    </row>
    <row r="240" ht="15.75" customHeight="1">
      <c r="Y240" s="117"/>
      <c r="Z240" s="118"/>
    </row>
    <row r="241" ht="15.75" customHeight="1">
      <c r="Y241" s="117"/>
      <c r="Z241" s="118"/>
    </row>
    <row r="242" ht="15.75" customHeight="1">
      <c r="Y242" s="117"/>
      <c r="Z242" s="118"/>
    </row>
    <row r="243" ht="15.75" customHeight="1">
      <c r="Y243" s="117"/>
      <c r="Z243" s="118"/>
    </row>
    <row r="244" ht="15.75" customHeight="1">
      <c r="Y244" s="117"/>
      <c r="Z244" s="118"/>
    </row>
    <row r="245" ht="15.75" customHeight="1">
      <c r="Y245" s="117"/>
      <c r="Z245" s="118"/>
    </row>
    <row r="246" ht="15.75" customHeight="1">
      <c r="Y246" s="117"/>
      <c r="Z246" s="118"/>
    </row>
    <row r="247" ht="15.75" customHeight="1">
      <c r="Y247" s="117"/>
      <c r="Z247" s="118"/>
    </row>
    <row r="248" ht="15.75" customHeight="1">
      <c r="Y248" s="117"/>
      <c r="Z248" s="118"/>
    </row>
    <row r="249" ht="15.75" customHeight="1">
      <c r="Y249" s="117"/>
      <c r="Z249" s="118"/>
    </row>
    <row r="250" ht="15.75" customHeight="1">
      <c r="Y250" s="117"/>
      <c r="Z250" s="118"/>
    </row>
    <row r="251" ht="15.75" customHeight="1">
      <c r="Y251" s="117"/>
      <c r="Z251" s="118"/>
    </row>
    <row r="252" ht="15.75" customHeight="1">
      <c r="Y252" s="117"/>
      <c r="Z252" s="118"/>
    </row>
    <row r="253" ht="15.75" customHeight="1">
      <c r="Y253" s="117"/>
      <c r="Z253" s="118"/>
    </row>
    <row r="254" ht="15.75" customHeight="1">
      <c r="Y254" s="117"/>
      <c r="Z254" s="118"/>
    </row>
    <row r="255" ht="15.75" customHeight="1">
      <c r="Y255" s="117"/>
      <c r="Z255" s="118"/>
    </row>
    <row r="256" ht="15.75" customHeight="1">
      <c r="Y256" s="117"/>
      <c r="Z256" s="118"/>
    </row>
    <row r="257" ht="15.75" customHeight="1">
      <c r="Y257" s="117"/>
      <c r="Z257" s="118"/>
    </row>
    <row r="258" ht="15.75" customHeight="1">
      <c r="Y258" s="117"/>
      <c r="Z258" s="118"/>
    </row>
    <row r="259" ht="15.75" customHeight="1">
      <c r="Y259" s="117"/>
      <c r="Z259" s="118"/>
    </row>
    <row r="260" ht="15.75" customHeight="1">
      <c r="Y260" s="117"/>
      <c r="Z260" s="118"/>
    </row>
    <row r="261" ht="15.75" customHeight="1">
      <c r="Y261" s="117"/>
      <c r="Z261" s="118"/>
    </row>
    <row r="262" ht="15.75" customHeight="1">
      <c r="Y262" s="117"/>
      <c r="Z262" s="118"/>
    </row>
    <row r="263" ht="15.75" customHeight="1">
      <c r="Y263" s="117"/>
      <c r="Z263" s="118"/>
    </row>
    <row r="264" ht="15.75" customHeight="1">
      <c r="Y264" s="117"/>
      <c r="Z264" s="118"/>
    </row>
    <row r="265" ht="15.75" customHeight="1">
      <c r="Y265" s="117"/>
      <c r="Z265" s="118"/>
    </row>
    <row r="266" ht="15.75" customHeight="1">
      <c r="Y266" s="117"/>
      <c r="Z266" s="118"/>
    </row>
    <row r="267" ht="15.75" customHeight="1">
      <c r="Y267" s="117"/>
      <c r="Z267" s="118"/>
    </row>
    <row r="268" ht="15.75" customHeight="1">
      <c r="Y268" s="117"/>
      <c r="Z268" s="118"/>
    </row>
    <row r="269" ht="15.75" customHeight="1">
      <c r="Y269" s="117"/>
      <c r="Z269" s="118"/>
    </row>
    <row r="270" ht="15.75" customHeight="1">
      <c r="Y270" s="117"/>
      <c r="Z270" s="118"/>
    </row>
    <row r="271" ht="15.75" customHeight="1">
      <c r="Y271" s="117"/>
      <c r="Z271" s="118"/>
    </row>
    <row r="272" ht="15.75" customHeight="1">
      <c r="Y272" s="117"/>
      <c r="Z272" s="118"/>
    </row>
    <row r="273" ht="15.75" customHeight="1">
      <c r="Y273" s="117"/>
      <c r="Z273" s="118"/>
    </row>
    <row r="274" ht="15.75" customHeight="1">
      <c r="Y274" s="117"/>
      <c r="Z274" s="118"/>
    </row>
    <row r="275" ht="15.75" customHeight="1">
      <c r="Y275" s="117"/>
      <c r="Z275" s="118"/>
    </row>
    <row r="276" ht="15.75" customHeight="1">
      <c r="Y276" s="117"/>
      <c r="Z276" s="118"/>
    </row>
    <row r="277" ht="15.75" customHeight="1">
      <c r="Y277" s="117"/>
      <c r="Z277" s="118"/>
    </row>
    <row r="278" ht="15.75" customHeight="1">
      <c r="Y278" s="117"/>
      <c r="Z278" s="118"/>
    </row>
    <row r="279" ht="15.75" customHeight="1">
      <c r="Y279" s="117"/>
      <c r="Z279" s="118"/>
    </row>
    <row r="280" ht="15.75" customHeight="1">
      <c r="Y280" s="117"/>
      <c r="Z280" s="118"/>
    </row>
    <row r="281" ht="15.75" customHeight="1">
      <c r="Y281" s="117"/>
      <c r="Z281" s="118"/>
    </row>
    <row r="282" ht="15.75" customHeight="1">
      <c r="Y282" s="117"/>
      <c r="Z282" s="118"/>
    </row>
    <row r="283" ht="15.75" customHeight="1">
      <c r="Y283" s="117"/>
      <c r="Z283" s="118"/>
    </row>
    <row r="284" ht="15.75" customHeight="1">
      <c r="Y284" s="117"/>
      <c r="Z284" s="118"/>
    </row>
    <row r="285" ht="15.75" customHeight="1">
      <c r="Y285" s="117"/>
      <c r="Z285" s="118"/>
    </row>
    <row r="286" ht="15.75" customHeight="1">
      <c r="Y286" s="117"/>
      <c r="Z286" s="118"/>
    </row>
    <row r="287" ht="15.75" customHeight="1">
      <c r="Y287" s="117"/>
      <c r="Z287" s="118"/>
    </row>
    <row r="288" ht="15.75" customHeight="1">
      <c r="Y288" s="117"/>
      <c r="Z288" s="118"/>
    </row>
    <row r="289" ht="15.75" customHeight="1">
      <c r="Y289" s="117"/>
      <c r="Z289" s="118"/>
    </row>
    <row r="290" ht="15.75" customHeight="1">
      <c r="Y290" s="117"/>
      <c r="Z290" s="118"/>
    </row>
    <row r="291" ht="15.75" customHeight="1">
      <c r="Y291" s="117"/>
      <c r="Z291" s="118"/>
    </row>
    <row r="292" ht="15.75" customHeight="1">
      <c r="Y292" s="117"/>
      <c r="Z292" s="118"/>
    </row>
    <row r="293" ht="15.75" customHeight="1">
      <c r="Y293" s="117"/>
      <c r="Z293" s="118"/>
    </row>
    <row r="294" ht="15.75" customHeight="1">
      <c r="Y294" s="117"/>
      <c r="Z294" s="118"/>
    </row>
    <row r="295" ht="15.75" customHeight="1">
      <c r="Y295" s="117"/>
      <c r="Z295" s="118"/>
    </row>
    <row r="296" ht="15.75" customHeight="1">
      <c r="Y296" s="117"/>
      <c r="Z296" s="118"/>
    </row>
    <row r="297" ht="15.75" customHeight="1">
      <c r="Y297" s="117"/>
      <c r="Z297" s="118"/>
    </row>
    <row r="298" ht="15.75" customHeight="1">
      <c r="Y298" s="117"/>
      <c r="Z298" s="118"/>
    </row>
    <row r="299" ht="15.75" customHeight="1">
      <c r="Y299" s="117"/>
      <c r="Z299" s="118"/>
    </row>
    <row r="300" ht="15.75" customHeight="1">
      <c r="Y300" s="117"/>
      <c r="Z300" s="118"/>
    </row>
    <row r="301" ht="15.75" customHeight="1">
      <c r="Y301" s="117"/>
      <c r="Z301" s="118"/>
    </row>
    <row r="302" ht="15.75" customHeight="1">
      <c r="Y302" s="117"/>
      <c r="Z302" s="118"/>
    </row>
    <row r="303" ht="15.75" customHeight="1">
      <c r="Y303" s="117"/>
      <c r="Z303" s="118"/>
    </row>
    <row r="304" ht="15.75" customHeight="1">
      <c r="Y304" s="117"/>
      <c r="Z304" s="118"/>
    </row>
    <row r="305" ht="15.75" customHeight="1">
      <c r="Y305" s="117"/>
      <c r="Z305" s="118"/>
    </row>
    <row r="306" ht="15.75" customHeight="1">
      <c r="Y306" s="117"/>
      <c r="Z306" s="118"/>
    </row>
    <row r="307" ht="15.75" customHeight="1">
      <c r="Y307" s="117"/>
      <c r="Z307" s="118"/>
    </row>
    <row r="308" ht="15.75" customHeight="1">
      <c r="Y308" s="117"/>
      <c r="Z308" s="118"/>
    </row>
    <row r="309" ht="15.75" customHeight="1">
      <c r="Y309" s="117"/>
      <c r="Z309" s="118"/>
    </row>
    <row r="310" ht="15.75" customHeight="1">
      <c r="Y310" s="117"/>
      <c r="Z310" s="118"/>
    </row>
    <row r="311" ht="15.75" customHeight="1">
      <c r="Y311" s="117"/>
      <c r="Z311" s="118"/>
    </row>
    <row r="312" ht="15.75" customHeight="1">
      <c r="Y312" s="117"/>
      <c r="Z312" s="118"/>
    </row>
    <row r="313" ht="15.75" customHeight="1">
      <c r="Y313" s="117"/>
      <c r="Z313" s="118"/>
    </row>
    <row r="314" ht="15.75" customHeight="1">
      <c r="Y314" s="117"/>
      <c r="Z314" s="118"/>
    </row>
    <row r="315" ht="15.75" customHeight="1">
      <c r="Y315" s="117"/>
      <c r="Z315" s="118"/>
    </row>
    <row r="316" ht="15.75" customHeight="1">
      <c r="Y316" s="117"/>
      <c r="Z316" s="118"/>
    </row>
    <row r="317" ht="15.75" customHeight="1">
      <c r="Y317" s="117"/>
      <c r="Z317" s="118"/>
    </row>
    <row r="318" ht="15.75" customHeight="1">
      <c r="Y318" s="117"/>
      <c r="Z318" s="118"/>
    </row>
    <row r="319" ht="15.75" customHeight="1">
      <c r="Y319" s="117"/>
      <c r="Z319" s="118"/>
    </row>
    <row r="320" ht="15.75" customHeight="1">
      <c r="Y320" s="117"/>
      <c r="Z320" s="118"/>
    </row>
    <row r="321" ht="15.75" customHeight="1">
      <c r="Y321" s="117"/>
      <c r="Z321" s="118"/>
    </row>
    <row r="322" ht="15.75" customHeight="1">
      <c r="Y322" s="117"/>
      <c r="Z322" s="118"/>
    </row>
    <row r="323" ht="15.75" customHeight="1">
      <c r="Y323" s="117"/>
      <c r="Z323" s="118"/>
    </row>
    <row r="324" ht="15.75" customHeight="1">
      <c r="Y324" s="117"/>
      <c r="Z324" s="118"/>
    </row>
    <row r="325" ht="15.75" customHeight="1">
      <c r="Y325" s="117"/>
      <c r="Z325" s="118"/>
    </row>
    <row r="326" ht="15.75" customHeight="1">
      <c r="Y326" s="117"/>
      <c r="Z326" s="118"/>
    </row>
    <row r="327" ht="15.75" customHeight="1">
      <c r="Y327" s="117"/>
      <c r="Z327" s="118"/>
    </row>
    <row r="328" ht="15.75" customHeight="1">
      <c r="Y328" s="117"/>
      <c r="Z328" s="118"/>
    </row>
    <row r="329" ht="15.75" customHeight="1">
      <c r="Y329" s="117"/>
      <c r="Z329" s="118"/>
    </row>
    <row r="330" ht="15.75" customHeight="1">
      <c r="Y330" s="117"/>
      <c r="Z330" s="118"/>
    </row>
    <row r="331" ht="15.75" customHeight="1">
      <c r="Y331" s="117"/>
      <c r="Z331" s="118"/>
    </row>
    <row r="332" ht="15.75" customHeight="1">
      <c r="Y332" s="117"/>
      <c r="Z332" s="118"/>
    </row>
    <row r="333" ht="15.75" customHeight="1">
      <c r="Y333" s="117"/>
      <c r="Z333" s="118"/>
    </row>
    <row r="334" ht="15.75" customHeight="1">
      <c r="Y334" s="117"/>
      <c r="Z334" s="118"/>
    </row>
    <row r="335" ht="15.75" customHeight="1">
      <c r="Y335" s="117"/>
      <c r="Z335" s="118"/>
    </row>
    <row r="336" ht="15.75" customHeight="1">
      <c r="Y336" s="117"/>
      <c r="Z336" s="118"/>
    </row>
    <row r="337" ht="15.75" customHeight="1">
      <c r="Y337" s="117"/>
      <c r="Z337" s="118"/>
    </row>
    <row r="338" ht="15.75" customHeight="1">
      <c r="Y338" s="117"/>
      <c r="Z338" s="118"/>
    </row>
    <row r="339" ht="15.75" customHeight="1">
      <c r="Y339" s="117"/>
      <c r="Z339" s="118"/>
    </row>
    <row r="340" ht="15.75" customHeight="1">
      <c r="Y340" s="117"/>
      <c r="Z340" s="118"/>
    </row>
    <row r="341" ht="15.75" customHeight="1">
      <c r="Y341" s="117"/>
      <c r="Z341" s="118"/>
    </row>
    <row r="342" ht="15.75" customHeight="1">
      <c r="Y342" s="117"/>
      <c r="Z342" s="118"/>
    </row>
    <row r="343" ht="15.75" customHeight="1">
      <c r="Y343" s="117"/>
      <c r="Z343" s="118"/>
    </row>
    <row r="344" ht="15.75" customHeight="1">
      <c r="Y344" s="117"/>
      <c r="Z344" s="118"/>
    </row>
    <row r="345" ht="15.75" customHeight="1">
      <c r="Y345" s="117"/>
      <c r="Z345" s="118"/>
    </row>
    <row r="346" ht="15.75" customHeight="1">
      <c r="Y346" s="117"/>
      <c r="Z346" s="118"/>
    </row>
    <row r="347" ht="15.75" customHeight="1">
      <c r="Y347" s="117"/>
      <c r="Z347" s="118"/>
    </row>
    <row r="348" ht="15.75" customHeight="1">
      <c r="Y348" s="117"/>
      <c r="Z348" s="118"/>
    </row>
    <row r="349" ht="15.75" customHeight="1">
      <c r="Y349" s="117"/>
      <c r="Z349" s="118"/>
    </row>
    <row r="350" ht="15.75" customHeight="1">
      <c r="Y350" s="117"/>
      <c r="Z350" s="118"/>
    </row>
    <row r="351" ht="15.75" customHeight="1">
      <c r="Y351" s="117"/>
      <c r="Z351" s="118"/>
    </row>
    <row r="352" ht="15.75" customHeight="1">
      <c r="Y352" s="117"/>
      <c r="Z352" s="118"/>
    </row>
    <row r="353" ht="15.75" customHeight="1">
      <c r="Y353" s="117"/>
      <c r="Z353" s="118"/>
    </row>
    <row r="354" ht="15.75" customHeight="1">
      <c r="Y354" s="117"/>
      <c r="Z354" s="118"/>
    </row>
    <row r="355" ht="15.75" customHeight="1">
      <c r="Y355" s="117"/>
      <c r="Z355" s="118"/>
    </row>
    <row r="356" ht="15.75" customHeight="1">
      <c r="Y356" s="117"/>
      <c r="Z356" s="118"/>
    </row>
    <row r="357" ht="15.75" customHeight="1">
      <c r="Y357" s="117"/>
      <c r="Z357" s="118"/>
    </row>
    <row r="358" ht="15.75" customHeight="1">
      <c r="Y358" s="117"/>
      <c r="Z358" s="118"/>
    </row>
    <row r="359" ht="15.75" customHeight="1">
      <c r="Y359" s="117"/>
      <c r="Z359" s="118"/>
    </row>
    <row r="360" ht="15.75" customHeight="1">
      <c r="Y360" s="117"/>
      <c r="Z360" s="118"/>
    </row>
    <row r="361" ht="15.75" customHeight="1">
      <c r="Y361" s="117"/>
      <c r="Z361" s="118"/>
    </row>
    <row r="362" ht="15.75" customHeight="1">
      <c r="Y362" s="117"/>
      <c r="Z362" s="118"/>
    </row>
    <row r="363" ht="15.75" customHeight="1">
      <c r="Y363" s="117"/>
      <c r="Z363" s="118"/>
    </row>
    <row r="364" ht="15.75" customHeight="1">
      <c r="Y364" s="117"/>
      <c r="Z364" s="118"/>
    </row>
    <row r="365" ht="15.75" customHeight="1">
      <c r="Y365" s="117"/>
      <c r="Z365" s="118"/>
    </row>
    <row r="366" ht="15.75" customHeight="1">
      <c r="Y366" s="117"/>
      <c r="Z366" s="118"/>
    </row>
    <row r="367" ht="15.75" customHeight="1">
      <c r="Y367" s="117"/>
      <c r="Z367" s="118"/>
    </row>
    <row r="368" ht="15.75" customHeight="1">
      <c r="Y368" s="117"/>
      <c r="Z368" s="118"/>
    </row>
    <row r="369" ht="15.75" customHeight="1">
      <c r="Y369" s="117"/>
      <c r="Z369" s="118"/>
    </row>
    <row r="370" ht="15.75" customHeight="1">
      <c r="Y370" s="117"/>
      <c r="Z370" s="118"/>
    </row>
    <row r="371" ht="15.75" customHeight="1">
      <c r="Y371" s="117"/>
      <c r="Z371" s="118"/>
    </row>
    <row r="372" ht="15.75" customHeight="1">
      <c r="Y372" s="117"/>
      <c r="Z372" s="118"/>
    </row>
    <row r="373" ht="15.75" customHeight="1">
      <c r="Y373" s="117"/>
      <c r="Z373" s="118"/>
    </row>
    <row r="374" ht="15.75" customHeight="1">
      <c r="Y374" s="117"/>
      <c r="Z374" s="118"/>
    </row>
    <row r="375" ht="15.75" customHeight="1">
      <c r="Y375" s="117"/>
      <c r="Z375" s="118"/>
    </row>
    <row r="376" ht="15.75" customHeight="1">
      <c r="Y376" s="117"/>
      <c r="Z376" s="118"/>
    </row>
    <row r="377" ht="15.75" customHeight="1">
      <c r="Y377" s="117"/>
      <c r="Z377" s="118"/>
    </row>
    <row r="378" ht="15.75" customHeight="1">
      <c r="Y378" s="117"/>
      <c r="Z378" s="118"/>
    </row>
    <row r="379" ht="15.75" customHeight="1">
      <c r="Y379" s="117"/>
      <c r="Z379" s="118"/>
    </row>
    <row r="380" ht="15.75" customHeight="1">
      <c r="Y380" s="117"/>
      <c r="Z380" s="118"/>
    </row>
    <row r="381" ht="15.75" customHeight="1">
      <c r="Y381" s="117"/>
      <c r="Z381" s="118"/>
    </row>
    <row r="382" ht="15.75" customHeight="1">
      <c r="Y382" s="117"/>
      <c r="Z382" s="118"/>
    </row>
    <row r="383" ht="15.75" customHeight="1">
      <c r="Y383" s="117"/>
      <c r="Z383" s="118"/>
    </row>
    <row r="384" ht="15.75" customHeight="1">
      <c r="Y384" s="117"/>
      <c r="Z384" s="118"/>
    </row>
    <row r="385" ht="15.75" customHeight="1">
      <c r="Y385" s="117"/>
      <c r="Z385" s="118"/>
    </row>
    <row r="386" ht="15.75" customHeight="1">
      <c r="Y386" s="117"/>
      <c r="Z386" s="118"/>
    </row>
    <row r="387" ht="15.75" customHeight="1">
      <c r="Y387" s="117"/>
      <c r="Z387" s="118"/>
    </row>
    <row r="388" ht="15.75" customHeight="1">
      <c r="Y388" s="117"/>
      <c r="Z388" s="118"/>
    </row>
    <row r="389" ht="15.75" customHeight="1">
      <c r="Y389" s="117"/>
      <c r="Z389" s="118"/>
    </row>
    <row r="390" ht="15.75" customHeight="1">
      <c r="Y390" s="117"/>
      <c r="Z390" s="118"/>
    </row>
    <row r="391" ht="15.75" customHeight="1">
      <c r="Y391" s="117"/>
      <c r="Z391" s="118"/>
    </row>
    <row r="392" ht="15.75" customHeight="1">
      <c r="Y392" s="117"/>
      <c r="Z392" s="118"/>
    </row>
    <row r="393" ht="15.75" customHeight="1">
      <c r="Y393" s="117"/>
      <c r="Z393" s="118"/>
    </row>
    <row r="394" ht="15.75" customHeight="1">
      <c r="Y394" s="117"/>
      <c r="Z394" s="118"/>
    </row>
    <row r="395" ht="15.75" customHeight="1">
      <c r="Y395" s="117"/>
      <c r="Z395" s="118"/>
    </row>
    <row r="396" ht="15.75" customHeight="1">
      <c r="Y396" s="117"/>
      <c r="Z396" s="118"/>
    </row>
    <row r="397" ht="15.75" customHeight="1">
      <c r="Y397" s="117"/>
      <c r="Z397" s="118"/>
    </row>
    <row r="398" ht="15.75" customHeight="1">
      <c r="Y398" s="117"/>
      <c r="Z398" s="118"/>
    </row>
    <row r="399" ht="15.75" customHeight="1">
      <c r="Y399" s="117"/>
      <c r="Z399" s="118"/>
    </row>
    <row r="400" ht="15.75" customHeight="1">
      <c r="Y400" s="117"/>
      <c r="Z400" s="118"/>
    </row>
    <row r="401" ht="15.75" customHeight="1">
      <c r="Y401" s="117"/>
      <c r="Z401" s="118"/>
    </row>
    <row r="402" ht="15.75" customHeight="1">
      <c r="Y402" s="117"/>
      <c r="Z402" s="118"/>
    </row>
    <row r="403" ht="15.75" customHeight="1">
      <c r="Y403" s="117"/>
      <c r="Z403" s="118"/>
    </row>
    <row r="404" ht="15.75" customHeight="1">
      <c r="Y404" s="117"/>
      <c r="Z404" s="118"/>
    </row>
    <row r="405" ht="15.75" customHeight="1">
      <c r="Y405" s="117"/>
      <c r="Z405" s="118"/>
    </row>
    <row r="406" ht="15.75" customHeight="1">
      <c r="Y406" s="117"/>
      <c r="Z406" s="118"/>
    </row>
    <row r="407" ht="15.75" customHeight="1">
      <c r="Y407" s="117"/>
      <c r="Z407" s="118"/>
    </row>
    <row r="408" ht="15.75" customHeight="1">
      <c r="Y408" s="117"/>
      <c r="Z408" s="118"/>
    </row>
    <row r="409" ht="15.75" customHeight="1">
      <c r="Y409" s="117"/>
      <c r="Z409" s="118"/>
    </row>
    <row r="410" ht="15.75" customHeight="1">
      <c r="Y410" s="117"/>
      <c r="Z410" s="118"/>
    </row>
    <row r="411" ht="15.75" customHeight="1">
      <c r="Y411" s="117"/>
      <c r="Z411" s="118"/>
    </row>
    <row r="412" ht="15.75" customHeight="1">
      <c r="Y412" s="117"/>
      <c r="Z412" s="118"/>
    </row>
    <row r="413" ht="15.75" customHeight="1">
      <c r="Y413" s="117"/>
      <c r="Z413" s="118"/>
    </row>
    <row r="414" ht="15.75" customHeight="1">
      <c r="Y414" s="117"/>
      <c r="Z414" s="118"/>
    </row>
    <row r="415" ht="15.75" customHeight="1">
      <c r="Y415" s="117"/>
      <c r="Z415" s="118"/>
    </row>
    <row r="416" ht="15.75" customHeight="1">
      <c r="Y416" s="117"/>
      <c r="Z416" s="118"/>
    </row>
    <row r="417" ht="15.75" customHeight="1">
      <c r="Y417" s="117"/>
      <c r="Z417" s="118"/>
    </row>
    <row r="418" ht="15.75" customHeight="1">
      <c r="Y418" s="117"/>
      <c r="Z418" s="118"/>
    </row>
    <row r="419" ht="15.75" customHeight="1">
      <c r="Y419" s="117"/>
      <c r="Z419" s="118"/>
    </row>
    <row r="420" ht="15.75" customHeight="1">
      <c r="Y420" s="117"/>
      <c r="Z420" s="118"/>
    </row>
    <row r="421" ht="15.75" customHeight="1">
      <c r="Y421" s="117"/>
      <c r="Z421" s="118"/>
    </row>
    <row r="422" ht="15.75" customHeight="1">
      <c r="Y422" s="117"/>
      <c r="Z422" s="118"/>
    </row>
    <row r="423" ht="15.75" customHeight="1">
      <c r="Y423" s="117"/>
      <c r="Z423" s="118"/>
    </row>
    <row r="424" ht="15.75" customHeight="1">
      <c r="Y424" s="117"/>
      <c r="Z424" s="118"/>
    </row>
    <row r="425" ht="15.75" customHeight="1">
      <c r="Y425" s="117"/>
      <c r="Z425" s="118"/>
    </row>
    <row r="426" ht="15.75" customHeight="1">
      <c r="Y426" s="117"/>
      <c r="Z426" s="118"/>
    </row>
    <row r="427" ht="15.75" customHeight="1">
      <c r="Y427" s="117"/>
      <c r="Z427" s="118"/>
    </row>
    <row r="428" ht="15.75" customHeight="1">
      <c r="Y428" s="117"/>
      <c r="Z428" s="118"/>
    </row>
    <row r="429" ht="15.75" customHeight="1">
      <c r="Y429" s="117"/>
      <c r="Z429" s="118"/>
    </row>
    <row r="430" ht="15.75" customHeight="1">
      <c r="Y430" s="117"/>
      <c r="Z430" s="118"/>
    </row>
    <row r="431" ht="15.75" customHeight="1">
      <c r="Y431" s="117"/>
      <c r="Z431" s="118"/>
    </row>
    <row r="432" ht="15.75" customHeight="1">
      <c r="Y432" s="117"/>
      <c r="Z432" s="118"/>
    </row>
    <row r="433" ht="15.75" customHeight="1">
      <c r="Y433" s="117"/>
      <c r="Z433" s="118"/>
    </row>
    <row r="434" ht="15.75" customHeight="1">
      <c r="Y434" s="117"/>
      <c r="Z434" s="118"/>
    </row>
    <row r="435" ht="15.75" customHeight="1">
      <c r="Y435" s="117"/>
      <c r="Z435" s="118"/>
    </row>
    <row r="436" ht="15.75" customHeight="1">
      <c r="Y436" s="117"/>
      <c r="Z436" s="118"/>
    </row>
    <row r="437" ht="15.75" customHeight="1">
      <c r="Y437" s="117"/>
      <c r="Z437" s="118"/>
    </row>
    <row r="438" ht="15.75" customHeight="1">
      <c r="Y438" s="117"/>
      <c r="Z438" s="118"/>
    </row>
    <row r="439" ht="15.75" customHeight="1">
      <c r="Y439" s="117"/>
      <c r="Z439" s="118"/>
    </row>
    <row r="440" ht="15.75" customHeight="1">
      <c r="Y440" s="117"/>
      <c r="Z440" s="118"/>
    </row>
    <row r="441" ht="15.75" customHeight="1">
      <c r="Y441" s="117"/>
      <c r="Z441" s="118"/>
    </row>
    <row r="442" ht="15.75" customHeight="1">
      <c r="Y442" s="117"/>
      <c r="Z442" s="118"/>
    </row>
    <row r="443" ht="15.75" customHeight="1">
      <c r="Y443" s="117"/>
      <c r="Z443" s="118"/>
    </row>
    <row r="444" ht="15.75" customHeight="1">
      <c r="Y444" s="117"/>
      <c r="Z444" s="118"/>
    </row>
    <row r="445" ht="15.75" customHeight="1">
      <c r="Y445" s="117"/>
      <c r="Z445" s="118"/>
    </row>
    <row r="446" ht="15.75" customHeight="1">
      <c r="Y446" s="117"/>
      <c r="Z446" s="118"/>
    </row>
    <row r="447" ht="15.75" customHeight="1">
      <c r="Y447" s="117"/>
      <c r="Z447" s="118"/>
    </row>
    <row r="448" ht="15.75" customHeight="1">
      <c r="Y448" s="117"/>
      <c r="Z448" s="118"/>
    </row>
    <row r="449" ht="15.75" customHeight="1">
      <c r="Y449" s="117"/>
      <c r="Z449" s="118"/>
    </row>
    <row r="450" ht="15.75" customHeight="1">
      <c r="Y450" s="117"/>
      <c r="Z450" s="118"/>
    </row>
    <row r="451" ht="15.75" customHeight="1">
      <c r="Y451" s="117"/>
      <c r="Z451" s="118"/>
    </row>
    <row r="452" ht="15.75" customHeight="1">
      <c r="Y452" s="117"/>
      <c r="Z452" s="118"/>
    </row>
    <row r="453" ht="15.75" customHeight="1">
      <c r="Y453" s="117"/>
      <c r="Z453" s="118"/>
    </row>
    <row r="454" ht="15.75" customHeight="1">
      <c r="Y454" s="117"/>
      <c r="Z454" s="118"/>
    </row>
    <row r="455" ht="15.75" customHeight="1">
      <c r="Y455" s="117"/>
      <c r="Z455" s="118"/>
    </row>
    <row r="456" ht="15.75" customHeight="1">
      <c r="Y456" s="117"/>
      <c r="Z456" s="118"/>
    </row>
    <row r="457" ht="15.75" customHeight="1">
      <c r="Y457" s="117"/>
      <c r="Z457" s="118"/>
    </row>
    <row r="458" ht="15.75" customHeight="1">
      <c r="Y458" s="117"/>
      <c r="Z458" s="118"/>
    </row>
    <row r="459" ht="15.75" customHeight="1">
      <c r="Y459" s="117"/>
      <c r="Z459" s="118"/>
    </row>
    <row r="460" ht="15.75" customHeight="1">
      <c r="Y460" s="117"/>
      <c r="Z460" s="118"/>
    </row>
    <row r="461" ht="15.75" customHeight="1">
      <c r="Y461" s="117"/>
      <c r="Z461" s="118"/>
    </row>
    <row r="462" ht="15.75" customHeight="1">
      <c r="Y462" s="117"/>
      <c r="Z462" s="118"/>
    </row>
    <row r="463" ht="15.75" customHeight="1">
      <c r="Y463" s="117"/>
      <c r="Z463" s="118"/>
    </row>
    <row r="464" ht="15.75" customHeight="1">
      <c r="Y464" s="117"/>
      <c r="Z464" s="118"/>
    </row>
    <row r="465" ht="15.75" customHeight="1">
      <c r="Y465" s="117"/>
      <c r="Z465" s="118"/>
    </row>
    <row r="466" ht="15.75" customHeight="1">
      <c r="Y466" s="117"/>
      <c r="Z466" s="118"/>
    </row>
    <row r="467" ht="15.75" customHeight="1">
      <c r="Y467" s="117"/>
      <c r="Z467" s="118"/>
    </row>
    <row r="468" ht="15.75" customHeight="1">
      <c r="Y468" s="117"/>
      <c r="Z468" s="118"/>
    </row>
    <row r="469" ht="15.75" customHeight="1">
      <c r="Y469" s="117"/>
      <c r="Z469" s="118"/>
    </row>
    <row r="470" ht="15.75" customHeight="1">
      <c r="Y470" s="117"/>
      <c r="Z470" s="118"/>
    </row>
    <row r="471" ht="15.75" customHeight="1">
      <c r="Y471" s="117"/>
      <c r="Z471" s="118"/>
    </row>
    <row r="472" ht="15.75" customHeight="1">
      <c r="Y472" s="117"/>
      <c r="Z472" s="118"/>
    </row>
    <row r="473" ht="15.75" customHeight="1">
      <c r="Y473" s="117"/>
      <c r="Z473" s="118"/>
    </row>
    <row r="474" ht="15.75" customHeight="1">
      <c r="Y474" s="117"/>
      <c r="Z474" s="118"/>
    </row>
    <row r="475" ht="15.75" customHeight="1">
      <c r="Y475" s="117"/>
      <c r="Z475" s="118"/>
    </row>
    <row r="476" ht="15.75" customHeight="1">
      <c r="Y476" s="117"/>
      <c r="Z476" s="118"/>
    </row>
    <row r="477" ht="15.75" customHeight="1">
      <c r="Y477" s="117"/>
      <c r="Z477" s="118"/>
    </row>
    <row r="478" ht="15.75" customHeight="1">
      <c r="Y478" s="117"/>
      <c r="Z478" s="118"/>
    </row>
    <row r="479" ht="15.75" customHeight="1">
      <c r="Y479" s="117"/>
      <c r="Z479" s="118"/>
    </row>
    <row r="480" ht="15.75" customHeight="1">
      <c r="Y480" s="117"/>
      <c r="Z480" s="118"/>
    </row>
    <row r="481" ht="15.75" customHeight="1">
      <c r="Y481" s="117"/>
      <c r="Z481" s="118"/>
    </row>
    <row r="482" ht="15.75" customHeight="1">
      <c r="Y482" s="117"/>
      <c r="Z482" s="118"/>
    </row>
    <row r="483" ht="15.75" customHeight="1">
      <c r="Y483" s="117"/>
      <c r="Z483" s="118"/>
    </row>
    <row r="484" ht="15.75" customHeight="1">
      <c r="Y484" s="117"/>
      <c r="Z484" s="118"/>
    </row>
    <row r="485" ht="15.75" customHeight="1">
      <c r="Y485" s="117"/>
      <c r="Z485" s="118"/>
    </row>
    <row r="486" ht="15.75" customHeight="1">
      <c r="Y486" s="117"/>
      <c r="Z486" s="118"/>
    </row>
    <row r="487" ht="15.75" customHeight="1">
      <c r="Y487" s="117"/>
      <c r="Z487" s="118"/>
    </row>
    <row r="488" ht="15.75" customHeight="1">
      <c r="Y488" s="117"/>
      <c r="Z488" s="118"/>
    </row>
    <row r="489" ht="15.75" customHeight="1">
      <c r="Y489" s="117"/>
      <c r="Z489" s="118"/>
    </row>
    <row r="490" ht="15.75" customHeight="1">
      <c r="Y490" s="117"/>
      <c r="Z490" s="118"/>
    </row>
    <row r="491" ht="15.75" customHeight="1">
      <c r="Y491" s="117"/>
      <c r="Z491" s="118"/>
    </row>
    <row r="492" ht="15.75" customHeight="1">
      <c r="Y492" s="117"/>
      <c r="Z492" s="118"/>
    </row>
    <row r="493" ht="15.75" customHeight="1">
      <c r="Y493" s="117"/>
      <c r="Z493" s="118"/>
    </row>
    <row r="494" ht="15.75" customHeight="1">
      <c r="Y494" s="117"/>
      <c r="Z494" s="118"/>
    </row>
    <row r="495" ht="15.75" customHeight="1">
      <c r="Y495" s="117"/>
      <c r="Z495" s="118"/>
    </row>
    <row r="496" ht="15.75" customHeight="1">
      <c r="Y496" s="117"/>
      <c r="Z496" s="118"/>
    </row>
    <row r="497" ht="15.75" customHeight="1">
      <c r="Y497" s="117"/>
      <c r="Z497" s="118"/>
    </row>
    <row r="498" ht="15.75" customHeight="1">
      <c r="Y498" s="117"/>
      <c r="Z498" s="118"/>
    </row>
    <row r="499" ht="15.75" customHeight="1">
      <c r="Y499" s="117"/>
      <c r="Z499" s="118"/>
    </row>
    <row r="500" ht="15.75" customHeight="1">
      <c r="Y500" s="117"/>
      <c r="Z500" s="118"/>
    </row>
    <row r="501" ht="15.75" customHeight="1">
      <c r="Y501" s="117"/>
      <c r="Z501" s="118"/>
    </row>
    <row r="502" ht="15.75" customHeight="1">
      <c r="Y502" s="117"/>
      <c r="Z502" s="118"/>
    </row>
    <row r="503" ht="15.75" customHeight="1">
      <c r="Y503" s="117"/>
      <c r="Z503" s="118"/>
    </row>
    <row r="504" ht="15.75" customHeight="1">
      <c r="Y504" s="117"/>
      <c r="Z504" s="118"/>
    </row>
    <row r="505" ht="15.75" customHeight="1">
      <c r="Y505" s="117"/>
      <c r="Z505" s="118"/>
    </row>
    <row r="506" ht="15.75" customHeight="1">
      <c r="Y506" s="117"/>
      <c r="Z506" s="118"/>
    </row>
    <row r="507" ht="15.75" customHeight="1">
      <c r="Y507" s="117"/>
      <c r="Z507" s="118"/>
    </row>
    <row r="508" ht="15.75" customHeight="1">
      <c r="Y508" s="117"/>
      <c r="Z508" s="118"/>
    </row>
    <row r="509" ht="15.75" customHeight="1">
      <c r="Y509" s="117"/>
      <c r="Z509" s="118"/>
    </row>
    <row r="510" ht="15.75" customHeight="1">
      <c r="Y510" s="117"/>
      <c r="Z510" s="118"/>
    </row>
    <row r="511" ht="15.75" customHeight="1">
      <c r="Y511" s="117"/>
      <c r="Z511" s="118"/>
    </row>
    <row r="512" ht="15.75" customHeight="1">
      <c r="Y512" s="117"/>
      <c r="Z512" s="118"/>
    </row>
    <row r="513" ht="15.75" customHeight="1">
      <c r="Y513" s="117"/>
      <c r="Z513" s="118"/>
    </row>
    <row r="514" ht="15.75" customHeight="1">
      <c r="Y514" s="117"/>
      <c r="Z514" s="118"/>
    </row>
    <row r="515" ht="15.75" customHeight="1">
      <c r="Y515" s="117"/>
      <c r="Z515" s="118"/>
    </row>
    <row r="516" ht="15.75" customHeight="1">
      <c r="Y516" s="117"/>
      <c r="Z516" s="118"/>
    </row>
    <row r="517" ht="15.75" customHeight="1">
      <c r="Y517" s="117"/>
      <c r="Z517" s="118"/>
    </row>
    <row r="518" ht="15.75" customHeight="1">
      <c r="Y518" s="117"/>
      <c r="Z518" s="118"/>
    </row>
    <row r="519" ht="15.75" customHeight="1">
      <c r="Y519" s="117"/>
      <c r="Z519" s="118"/>
    </row>
    <row r="520" ht="15.75" customHeight="1">
      <c r="Y520" s="117"/>
      <c r="Z520" s="118"/>
    </row>
    <row r="521" ht="15.75" customHeight="1">
      <c r="Y521" s="117"/>
      <c r="Z521" s="118"/>
    </row>
    <row r="522" ht="15.75" customHeight="1">
      <c r="Y522" s="117"/>
      <c r="Z522" s="118"/>
    </row>
    <row r="523" ht="15.75" customHeight="1">
      <c r="Y523" s="117"/>
      <c r="Z523" s="118"/>
    </row>
    <row r="524" ht="15.75" customHeight="1">
      <c r="Y524" s="117"/>
      <c r="Z524" s="118"/>
    </row>
    <row r="525" ht="15.75" customHeight="1">
      <c r="Y525" s="117"/>
      <c r="Z525" s="118"/>
    </row>
    <row r="526" ht="15.75" customHeight="1">
      <c r="Y526" s="117"/>
      <c r="Z526" s="118"/>
    </row>
    <row r="527" ht="15.75" customHeight="1">
      <c r="Y527" s="117"/>
      <c r="Z527" s="118"/>
    </row>
    <row r="528" ht="15.75" customHeight="1">
      <c r="Y528" s="117"/>
      <c r="Z528" s="118"/>
    </row>
    <row r="529" ht="15.75" customHeight="1">
      <c r="Y529" s="117"/>
      <c r="Z529" s="118"/>
    </row>
    <row r="530" ht="15.75" customHeight="1">
      <c r="Y530" s="117"/>
      <c r="Z530" s="118"/>
    </row>
    <row r="531" ht="15.75" customHeight="1">
      <c r="Y531" s="117"/>
      <c r="Z531" s="118"/>
    </row>
    <row r="532" ht="15.75" customHeight="1">
      <c r="Y532" s="117"/>
      <c r="Z532" s="118"/>
    </row>
    <row r="533" ht="15.75" customHeight="1">
      <c r="Y533" s="117"/>
      <c r="Z533" s="118"/>
    </row>
    <row r="534" ht="15.75" customHeight="1">
      <c r="Y534" s="117"/>
      <c r="Z534" s="118"/>
    </row>
    <row r="535" ht="15.75" customHeight="1">
      <c r="Y535" s="117"/>
      <c r="Z535" s="118"/>
    </row>
    <row r="536" ht="15.75" customHeight="1">
      <c r="Y536" s="117"/>
      <c r="Z536" s="118"/>
    </row>
    <row r="537" ht="15.75" customHeight="1">
      <c r="Y537" s="117"/>
      <c r="Z537" s="118"/>
    </row>
    <row r="538" ht="15.75" customHeight="1">
      <c r="Y538" s="117"/>
      <c r="Z538" s="118"/>
    </row>
    <row r="539" ht="15.75" customHeight="1">
      <c r="Y539" s="117"/>
      <c r="Z539" s="118"/>
    </row>
    <row r="540" ht="15.75" customHeight="1">
      <c r="Y540" s="117"/>
      <c r="Z540" s="118"/>
    </row>
    <row r="541" ht="15.75" customHeight="1">
      <c r="Y541" s="117"/>
      <c r="Z541" s="118"/>
    </row>
    <row r="542" ht="15.75" customHeight="1">
      <c r="Y542" s="117"/>
      <c r="Z542" s="118"/>
    </row>
    <row r="543" ht="15.75" customHeight="1">
      <c r="Y543" s="117"/>
      <c r="Z543" s="118"/>
    </row>
    <row r="544" ht="15.75" customHeight="1">
      <c r="Y544" s="117"/>
      <c r="Z544" s="118"/>
    </row>
    <row r="545" ht="15.75" customHeight="1">
      <c r="Y545" s="117"/>
      <c r="Z545" s="118"/>
    </row>
    <row r="546" ht="15.75" customHeight="1">
      <c r="Y546" s="117"/>
      <c r="Z546" s="118"/>
    </row>
    <row r="547" ht="15.75" customHeight="1">
      <c r="Y547" s="117"/>
      <c r="Z547" s="118"/>
    </row>
    <row r="548" ht="15.75" customHeight="1">
      <c r="Y548" s="117"/>
      <c r="Z548" s="118"/>
    </row>
    <row r="549" ht="15.75" customHeight="1">
      <c r="Y549" s="117"/>
      <c r="Z549" s="118"/>
    </row>
    <row r="550" ht="15.75" customHeight="1">
      <c r="Y550" s="117"/>
      <c r="Z550" s="118"/>
    </row>
    <row r="551" ht="15.75" customHeight="1">
      <c r="Y551" s="117"/>
      <c r="Z551" s="118"/>
    </row>
    <row r="552" ht="15.75" customHeight="1">
      <c r="Y552" s="117"/>
      <c r="Z552" s="118"/>
    </row>
    <row r="553" ht="15.75" customHeight="1">
      <c r="Y553" s="117"/>
      <c r="Z553" s="118"/>
    </row>
    <row r="554" ht="15.75" customHeight="1">
      <c r="Y554" s="117"/>
      <c r="Z554" s="118"/>
    </row>
    <row r="555" ht="15.75" customHeight="1">
      <c r="Y555" s="117"/>
      <c r="Z555" s="118"/>
    </row>
    <row r="556" ht="15.75" customHeight="1">
      <c r="Y556" s="117"/>
      <c r="Z556" s="118"/>
    </row>
    <row r="557" ht="15.75" customHeight="1">
      <c r="Y557" s="117"/>
      <c r="Z557" s="118"/>
    </row>
    <row r="558" ht="15.75" customHeight="1">
      <c r="Y558" s="117"/>
      <c r="Z558" s="118"/>
    </row>
    <row r="559" ht="15.75" customHeight="1">
      <c r="Y559" s="117"/>
      <c r="Z559" s="118"/>
    </row>
    <row r="560" ht="15.75" customHeight="1">
      <c r="Y560" s="117"/>
      <c r="Z560" s="118"/>
    </row>
    <row r="561" ht="15.75" customHeight="1">
      <c r="Y561" s="117"/>
      <c r="Z561" s="118"/>
    </row>
    <row r="562" ht="15.75" customHeight="1">
      <c r="Y562" s="117"/>
      <c r="Z562" s="118"/>
    </row>
    <row r="563" ht="15.75" customHeight="1">
      <c r="Y563" s="117"/>
      <c r="Z563" s="118"/>
    </row>
    <row r="564" ht="15.75" customHeight="1">
      <c r="Y564" s="117"/>
      <c r="Z564" s="118"/>
    </row>
    <row r="565" ht="15.75" customHeight="1">
      <c r="Y565" s="117"/>
      <c r="Z565" s="118"/>
    </row>
    <row r="566" ht="15.75" customHeight="1">
      <c r="Y566" s="117"/>
      <c r="Z566" s="118"/>
    </row>
    <row r="567" ht="15.75" customHeight="1">
      <c r="Y567" s="117"/>
      <c r="Z567" s="118"/>
    </row>
    <row r="568" ht="15.75" customHeight="1">
      <c r="Y568" s="117"/>
      <c r="Z568" s="118"/>
    </row>
    <row r="569" ht="15.75" customHeight="1">
      <c r="Y569" s="117"/>
      <c r="Z569" s="118"/>
    </row>
    <row r="570" ht="15.75" customHeight="1">
      <c r="Y570" s="117"/>
      <c r="Z570" s="118"/>
    </row>
    <row r="571" ht="15.75" customHeight="1">
      <c r="Y571" s="117"/>
      <c r="Z571" s="118"/>
    </row>
    <row r="572" ht="15.75" customHeight="1">
      <c r="Y572" s="117"/>
      <c r="Z572" s="118"/>
    </row>
    <row r="573" ht="15.75" customHeight="1">
      <c r="Y573" s="117"/>
      <c r="Z573" s="118"/>
    </row>
    <row r="574" ht="15.75" customHeight="1">
      <c r="Y574" s="117"/>
      <c r="Z574" s="118"/>
    </row>
    <row r="575" ht="15.75" customHeight="1">
      <c r="Y575" s="117"/>
      <c r="Z575" s="118"/>
    </row>
    <row r="576" ht="15.75" customHeight="1">
      <c r="Y576" s="117"/>
      <c r="Z576" s="118"/>
    </row>
    <row r="577" ht="15.75" customHeight="1">
      <c r="Y577" s="117"/>
      <c r="Z577" s="118"/>
    </row>
    <row r="578" ht="15.75" customHeight="1">
      <c r="Y578" s="117"/>
      <c r="Z578" s="118"/>
    </row>
    <row r="579" ht="15.75" customHeight="1">
      <c r="Y579" s="117"/>
      <c r="Z579" s="118"/>
    </row>
    <row r="580" ht="15.75" customHeight="1">
      <c r="Y580" s="117"/>
      <c r="Z580" s="118"/>
    </row>
    <row r="581" ht="15.75" customHeight="1">
      <c r="Y581" s="117"/>
      <c r="Z581" s="118"/>
    </row>
    <row r="582" ht="15.75" customHeight="1">
      <c r="Y582" s="117"/>
      <c r="Z582" s="118"/>
    </row>
    <row r="583" ht="15.75" customHeight="1">
      <c r="Y583" s="117"/>
      <c r="Z583" s="118"/>
    </row>
    <row r="584" ht="15.75" customHeight="1">
      <c r="Y584" s="117"/>
      <c r="Z584" s="118"/>
    </row>
    <row r="585" ht="15.75" customHeight="1">
      <c r="Y585" s="117"/>
      <c r="Z585" s="118"/>
    </row>
    <row r="586" ht="15.75" customHeight="1">
      <c r="Y586" s="117"/>
      <c r="Z586" s="118"/>
    </row>
    <row r="587" ht="15.75" customHeight="1">
      <c r="Y587" s="117"/>
      <c r="Z587" s="118"/>
    </row>
    <row r="588" ht="15.75" customHeight="1">
      <c r="Y588" s="117"/>
      <c r="Z588" s="118"/>
    </row>
    <row r="589" ht="15.75" customHeight="1">
      <c r="Y589" s="117"/>
      <c r="Z589" s="118"/>
    </row>
    <row r="590" ht="15.75" customHeight="1">
      <c r="Y590" s="117"/>
      <c r="Z590" s="118"/>
    </row>
    <row r="591" ht="15.75" customHeight="1">
      <c r="Y591" s="117"/>
      <c r="Z591" s="118"/>
    </row>
    <row r="592" ht="15.75" customHeight="1">
      <c r="Y592" s="117"/>
      <c r="Z592" s="118"/>
    </row>
    <row r="593" ht="15.75" customHeight="1">
      <c r="Y593" s="117"/>
      <c r="Z593" s="118"/>
    </row>
    <row r="594" ht="15.75" customHeight="1">
      <c r="Y594" s="117"/>
      <c r="Z594" s="118"/>
    </row>
    <row r="595" ht="15.75" customHeight="1">
      <c r="Y595" s="117"/>
      <c r="Z595" s="118"/>
    </row>
    <row r="596" ht="15.75" customHeight="1">
      <c r="Y596" s="117"/>
      <c r="Z596" s="118"/>
    </row>
    <row r="597" ht="15.75" customHeight="1">
      <c r="Y597" s="117"/>
      <c r="Z597" s="118"/>
    </row>
    <row r="598" ht="15.75" customHeight="1">
      <c r="Y598" s="117"/>
      <c r="Z598" s="118"/>
    </row>
    <row r="599" ht="15.75" customHeight="1">
      <c r="Y599" s="117"/>
      <c r="Z599" s="118"/>
    </row>
    <row r="600" ht="15.75" customHeight="1">
      <c r="Y600" s="117"/>
      <c r="Z600" s="118"/>
    </row>
    <row r="601" ht="15.75" customHeight="1">
      <c r="Y601" s="117"/>
      <c r="Z601" s="118"/>
    </row>
    <row r="602" ht="15.75" customHeight="1">
      <c r="Y602" s="117"/>
      <c r="Z602" s="118"/>
    </row>
    <row r="603" ht="15.75" customHeight="1">
      <c r="Y603" s="117"/>
      <c r="Z603" s="118"/>
    </row>
    <row r="604" ht="15.75" customHeight="1">
      <c r="Y604" s="117"/>
      <c r="Z604" s="118"/>
    </row>
    <row r="605" ht="15.75" customHeight="1">
      <c r="Y605" s="117"/>
      <c r="Z605" s="118"/>
    </row>
    <row r="606" ht="15.75" customHeight="1">
      <c r="Y606" s="117"/>
      <c r="Z606" s="118"/>
    </row>
    <row r="607" ht="15.75" customHeight="1">
      <c r="Y607" s="117"/>
      <c r="Z607" s="118"/>
    </row>
    <row r="608" ht="15.75" customHeight="1">
      <c r="Y608" s="117"/>
      <c r="Z608" s="118"/>
    </row>
    <row r="609" ht="15.75" customHeight="1">
      <c r="Y609" s="117"/>
      <c r="Z609" s="118"/>
    </row>
    <row r="610" ht="15.75" customHeight="1">
      <c r="Y610" s="117"/>
      <c r="Z610" s="118"/>
    </row>
    <row r="611" ht="15.75" customHeight="1">
      <c r="Y611" s="117"/>
      <c r="Z611" s="118"/>
    </row>
    <row r="612" ht="15.75" customHeight="1">
      <c r="Y612" s="117"/>
      <c r="Z612" s="118"/>
    </row>
    <row r="613" ht="15.75" customHeight="1">
      <c r="Y613" s="117"/>
      <c r="Z613" s="118"/>
    </row>
    <row r="614" ht="15.75" customHeight="1">
      <c r="Y614" s="117"/>
      <c r="Z614" s="118"/>
    </row>
    <row r="615" ht="15.75" customHeight="1">
      <c r="Y615" s="117"/>
      <c r="Z615" s="118"/>
    </row>
    <row r="616" ht="15.75" customHeight="1">
      <c r="Y616" s="117"/>
      <c r="Z616" s="118"/>
    </row>
    <row r="617" ht="15.75" customHeight="1">
      <c r="Y617" s="117"/>
      <c r="Z617" s="118"/>
    </row>
    <row r="618" ht="15.75" customHeight="1">
      <c r="Y618" s="117"/>
      <c r="Z618" s="118"/>
    </row>
    <row r="619" ht="15.75" customHeight="1">
      <c r="Y619" s="117"/>
      <c r="Z619" s="118"/>
    </row>
    <row r="620" ht="15.75" customHeight="1">
      <c r="Y620" s="117"/>
      <c r="Z620" s="118"/>
    </row>
    <row r="621" ht="15.75" customHeight="1">
      <c r="Y621" s="117"/>
      <c r="Z621" s="118"/>
    </row>
    <row r="622" ht="15.75" customHeight="1">
      <c r="Y622" s="117"/>
      <c r="Z622" s="118"/>
    </row>
    <row r="623" ht="15.75" customHeight="1">
      <c r="Y623" s="117"/>
      <c r="Z623" s="118"/>
    </row>
    <row r="624" ht="15.75" customHeight="1">
      <c r="Y624" s="117"/>
      <c r="Z624" s="118"/>
    </row>
    <row r="625" ht="15.75" customHeight="1">
      <c r="Y625" s="117"/>
      <c r="Z625" s="118"/>
    </row>
    <row r="626" ht="15.75" customHeight="1">
      <c r="Y626" s="117"/>
      <c r="Z626" s="118"/>
    </row>
    <row r="627" ht="15.75" customHeight="1">
      <c r="Y627" s="117"/>
      <c r="Z627" s="118"/>
    </row>
    <row r="628" ht="15.75" customHeight="1">
      <c r="Y628" s="117"/>
      <c r="Z628" s="118"/>
    </row>
    <row r="629" ht="15.75" customHeight="1">
      <c r="Y629" s="117"/>
      <c r="Z629" s="118"/>
    </row>
    <row r="630" ht="15.75" customHeight="1">
      <c r="Y630" s="117"/>
      <c r="Z630" s="118"/>
    </row>
    <row r="631" ht="15.75" customHeight="1">
      <c r="Y631" s="117"/>
      <c r="Z631" s="118"/>
    </row>
    <row r="632" ht="15.75" customHeight="1">
      <c r="Y632" s="117"/>
      <c r="Z632" s="118"/>
    </row>
    <row r="633" ht="15.75" customHeight="1">
      <c r="Y633" s="117"/>
      <c r="Z633" s="118"/>
    </row>
    <row r="634" ht="15.75" customHeight="1">
      <c r="Y634" s="117"/>
      <c r="Z634" s="118"/>
    </row>
    <row r="635" ht="15.75" customHeight="1">
      <c r="Y635" s="117"/>
      <c r="Z635" s="118"/>
    </row>
    <row r="636" ht="15.75" customHeight="1">
      <c r="Y636" s="117"/>
      <c r="Z636" s="118"/>
    </row>
    <row r="637" ht="15.75" customHeight="1">
      <c r="Y637" s="117"/>
      <c r="Z637" s="118"/>
    </row>
    <row r="638" ht="15.75" customHeight="1">
      <c r="Y638" s="117"/>
      <c r="Z638" s="118"/>
    </row>
    <row r="639" ht="15.75" customHeight="1">
      <c r="Y639" s="117"/>
      <c r="Z639" s="118"/>
    </row>
    <row r="640" ht="15.75" customHeight="1">
      <c r="Y640" s="117"/>
      <c r="Z640" s="118"/>
    </row>
    <row r="641" ht="15.75" customHeight="1">
      <c r="Y641" s="117"/>
      <c r="Z641" s="118"/>
    </row>
    <row r="642" ht="15.75" customHeight="1">
      <c r="Y642" s="117"/>
      <c r="Z642" s="118"/>
    </row>
    <row r="643" ht="15.75" customHeight="1">
      <c r="Y643" s="117"/>
      <c r="Z643" s="118"/>
    </row>
    <row r="644" ht="15.75" customHeight="1">
      <c r="Y644" s="117"/>
      <c r="Z644" s="118"/>
    </row>
    <row r="645" ht="15.75" customHeight="1">
      <c r="Y645" s="117"/>
      <c r="Z645" s="118"/>
    </row>
    <row r="646" ht="15.75" customHeight="1">
      <c r="Y646" s="117"/>
      <c r="Z646" s="118"/>
    </row>
    <row r="647" ht="15.75" customHeight="1">
      <c r="Y647" s="117"/>
      <c r="Z647" s="118"/>
    </row>
    <row r="648" ht="15.75" customHeight="1">
      <c r="Y648" s="117"/>
      <c r="Z648" s="118"/>
    </row>
    <row r="649" ht="15.75" customHeight="1">
      <c r="Y649" s="117"/>
      <c r="Z649" s="118"/>
    </row>
    <row r="650" ht="15.75" customHeight="1">
      <c r="Y650" s="117"/>
      <c r="Z650" s="118"/>
    </row>
    <row r="651" ht="15.75" customHeight="1">
      <c r="Y651" s="117"/>
      <c r="Z651" s="118"/>
    </row>
    <row r="652" ht="15.75" customHeight="1">
      <c r="Y652" s="117"/>
      <c r="Z652" s="118"/>
    </row>
    <row r="653" ht="15.75" customHeight="1">
      <c r="Y653" s="117"/>
      <c r="Z653" s="118"/>
    </row>
    <row r="654" ht="15.75" customHeight="1">
      <c r="Y654" s="117"/>
      <c r="Z654" s="118"/>
    </row>
    <row r="655" ht="15.75" customHeight="1">
      <c r="Y655" s="117"/>
      <c r="Z655" s="118"/>
    </row>
    <row r="656" ht="15.75" customHeight="1">
      <c r="Y656" s="117"/>
      <c r="Z656" s="118"/>
    </row>
    <row r="657" ht="15.75" customHeight="1">
      <c r="Y657" s="117"/>
      <c r="Z657" s="118"/>
    </row>
    <row r="658" ht="15.75" customHeight="1">
      <c r="Y658" s="117"/>
      <c r="Z658" s="118"/>
    </row>
    <row r="659" ht="15.75" customHeight="1">
      <c r="Y659" s="117"/>
      <c r="Z659" s="118"/>
    </row>
    <row r="660" ht="15.75" customHeight="1">
      <c r="Y660" s="117"/>
      <c r="Z660" s="118"/>
    </row>
    <row r="661" ht="15.75" customHeight="1">
      <c r="Y661" s="117"/>
      <c r="Z661" s="118"/>
    </row>
    <row r="662" ht="15.75" customHeight="1">
      <c r="Y662" s="117"/>
      <c r="Z662" s="118"/>
    </row>
    <row r="663" ht="15.75" customHeight="1">
      <c r="Y663" s="117"/>
      <c r="Z663" s="118"/>
    </row>
    <row r="664" ht="15.75" customHeight="1">
      <c r="Y664" s="117"/>
      <c r="Z664" s="118"/>
    </row>
    <row r="665" ht="15.75" customHeight="1">
      <c r="Y665" s="117"/>
      <c r="Z665" s="118"/>
    </row>
    <row r="666" ht="15.75" customHeight="1">
      <c r="Y666" s="117"/>
      <c r="Z666" s="118"/>
    </row>
    <row r="667" ht="15.75" customHeight="1">
      <c r="Y667" s="117"/>
      <c r="Z667" s="118"/>
    </row>
    <row r="668" ht="15.75" customHeight="1">
      <c r="Y668" s="117"/>
      <c r="Z668" s="118"/>
    </row>
    <row r="669" ht="15.75" customHeight="1">
      <c r="Y669" s="117"/>
      <c r="Z669" s="118"/>
    </row>
    <row r="670" ht="15.75" customHeight="1">
      <c r="Y670" s="117"/>
      <c r="Z670" s="118"/>
    </row>
    <row r="671" ht="15.75" customHeight="1">
      <c r="Y671" s="117"/>
      <c r="Z671" s="118"/>
    </row>
    <row r="672" ht="15.75" customHeight="1">
      <c r="Y672" s="117"/>
      <c r="Z672" s="118"/>
    </row>
    <row r="673" ht="15.75" customHeight="1">
      <c r="Y673" s="117"/>
      <c r="Z673" s="118"/>
    </row>
    <row r="674" ht="15.75" customHeight="1">
      <c r="Y674" s="117"/>
      <c r="Z674" s="118"/>
    </row>
    <row r="675" ht="15.75" customHeight="1">
      <c r="Y675" s="117"/>
      <c r="Z675" s="118"/>
    </row>
    <row r="676" ht="15.75" customHeight="1">
      <c r="Y676" s="117"/>
      <c r="Z676" s="118"/>
    </row>
    <row r="677" ht="15.75" customHeight="1">
      <c r="Y677" s="117"/>
      <c r="Z677" s="118"/>
    </row>
    <row r="678" ht="15.75" customHeight="1">
      <c r="Y678" s="117"/>
      <c r="Z678" s="118"/>
    </row>
    <row r="679" ht="15.75" customHeight="1">
      <c r="Y679" s="117"/>
      <c r="Z679" s="118"/>
    </row>
    <row r="680" ht="15.75" customHeight="1">
      <c r="Y680" s="117"/>
      <c r="Z680" s="118"/>
    </row>
    <row r="681" ht="15.75" customHeight="1">
      <c r="Y681" s="117"/>
      <c r="Z681" s="118"/>
    </row>
    <row r="682" ht="15.75" customHeight="1">
      <c r="Y682" s="117"/>
      <c r="Z682" s="118"/>
    </row>
    <row r="683" ht="15.75" customHeight="1">
      <c r="Y683" s="117"/>
      <c r="Z683" s="118"/>
    </row>
    <row r="684" ht="15.75" customHeight="1">
      <c r="Y684" s="117"/>
      <c r="Z684" s="118"/>
    </row>
    <row r="685" ht="15.75" customHeight="1">
      <c r="Y685" s="117"/>
      <c r="Z685" s="118"/>
    </row>
    <row r="686" ht="15.75" customHeight="1">
      <c r="Y686" s="117"/>
      <c r="Z686" s="118"/>
    </row>
    <row r="687" ht="15.75" customHeight="1">
      <c r="Y687" s="117"/>
      <c r="Z687" s="118"/>
    </row>
    <row r="688" ht="15.75" customHeight="1">
      <c r="Y688" s="117"/>
      <c r="Z688" s="118"/>
    </row>
    <row r="689" ht="15.75" customHeight="1">
      <c r="Y689" s="117"/>
      <c r="Z689" s="118"/>
    </row>
    <row r="690" ht="15.75" customHeight="1">
      <c r="Y690" s="117"/>
      <c r="Z690" s="118"/>
    </row>
    <row r="691" ht="15.75" customHeight="1">
      <c r="Y691" s="117"/>
      <c r="Z691" s="118"/>
    </row>
    <row r="692" ht="15.75" customHeight="1">
      <c r="Y692" s="117"/>
      <c r="Z692" s="118"/>
    </row>
    <row r="693" ht="15.75" customHeight="1">
      <c r="Y693" s="117"/>
      <c r="Z693" s="118"/>
    </row>
    <row r="694" ht="15.75" customHeight="1">
      <c r="Y694" s="117"/>
      <c r="Z694" s="118"/>
    </row>
    <row r="695" ht="15.75" customHeight="1">
      <c r="Y695" s="117"/>
      <c r="Z695" s="118"/>
    </row>
    <row r="696" ht="15.75" customHeight="1">
      <c r="Y696" s="117"/>
      <c r="Z696" s="118"/>
    </row>
    <row r="697" ht="15.75" customHeight="1">
      <c r="Y697" s="117"/>
      <c r="Z697" s="118"/>
    </row>
    <row r="698" ht="15.75" customHeight="1">
      <c r="Y698" s="117"/>
      <c r="Z698" s="118"/>
    </row>
    <row r="699" ht="15.75" customHeight="1">
      <c r="Y699" s="117"/>
      <c r="Z699" s="118"/>
    </row>
    <row r="700" ht="15.75" customHeight="1">
      <c r="Y700" s="117"/>
      <c r="Z700" s="118"/>
    </row>
    <row r="701" ht="15.75" customHeight="1">
      <c r="Y701" s="117"/>
      <c r="Z701" s="118"/>
    </row>
    <row r="702" ht="15.75" customHeight="1">
      <c r="Y702" s="117"/>
      <c r="Z702" s="118"/>
    </row>
    <row r="703" ht="15.75" customHeight="1">
      <c r="Y703" s="117"/>
      <c r="Z703" s="118"/>
    </row>
    <row r="704" ht="15.75" customHeight="1">
      <c r="Y704" s="117"/>
      <c r="Z704" s="118"/>
    </row>
    <row r="705" ht="15.75" customHeight="1">
      <c r="Y705" s="117"/>
      <c r="Z705" s="118"/>
    </row>
    <row r="706" ht="15.75" customHeight="1">
      <c r="Y706" s="117"/>
      <c r="Z706" s="118"/>
    </row>
    <row r="707" ht="15.75" customHeight="1">
      <c r="Y707" s="117"/>
      <c r="Z707" s="118"/>
    </row>
    <row r="708" ht="15.75" customHeight="1">
      <c r="Y708" s="117"/>
      <c r="Z708" s="118"/>
    </row>
    <row r="709" ht="15.75" customHeight="1">
      <c r="Y709" s="117"/>
      <c r="Z709" s="118"/>
    </row>
    <row r="710" ht="15.75" customHeight="1">
      <c r="Y710" s="117"/>
      <c r="Z710" s="118"/>
    </row>
    <row r="711" ht="15.75" customHeight="1">
      <c r="Y711" s="117"/>
      <c r="Z711" s="118"/>
    </row>
    <row r="712" ht="15.75" customHeight="1">
      <c r="Y712" s="117"/>
      <c r="Z712" s="118"/>
    </row>
    <row r="713" ht="15.75" customHeight="1">
      <c r="Y713" s="117"/>
      <c r="Z713" s="118"/>
    </row>
    <row r="714" ht="15.75" customHeight="1">
      <c r="Y714" s="117"/>
      <c r="Z714" s="118"/>
    </row>
    <row r="715" ht="15.75" customHeight="1">
      <c r="Y715" s="117"/>
      <c r="Z715" s="118"/>
    </row>
    <row r="716" ht="15.75" customHeight="1">
      <c r="Y716" s="117"/>
      <c r="Z716" s="118"/>
    </row>
    <row r="717" ht="15.75" customHeight="1">
      <c r="Y717" s="117"/>
      <c r="Z717" s="118"/>
    </row>
    <row r="718" ht="15.75" customHeight="1">
      <c r="Y718" s="117"/>
      <c r="Z718" s="118"/>
    </row>
    <row r="719" ht="15.75" customHeight="1">
      <c r="Y719" s="117"/>
      <c r="Z719" s="118"/>
    </row>
    <row r="720" ht="15.75" customHeight="1">
      <c r="Y720" s="117"/>
      <c r="Z720" s="118"/>
    </row>
    <row r="721" ht="15.75" customHeight="1">
      <c r="Y721" s="117"/>
      <c r="Z721" s="118"/>
    </row>
    <row r="722" ht="15.75" customHeight="1">
      <c r="Y722" s="117"/>
      <c r="Z722" s="118"/>
    </row>
    <row r="723" ht="15.75" customHeight="1">
      <c r="Y723" s="117"/>
      <c r="Z723" s="118"/>
    </row>
    <row r="724" ht="15.75" customHeight="1">
      <c r="Y724" s="117"/>
      <c r="Z724" s="118"/>
    </row>
    <row r="725" ht="15.75" customHeight="1">
      <c r="Y725" s="117"/>
      <c r="Z725" s="118"/>
    </row>
    <row r="726" ht="15.75" customHeight="1">
      <c r="Y726" s="117"/>
      <c r="Z726" s="118"/>
    </row>
    <row r="727" ht="15.75" customHeight="1">
      <c r="Y727" s="117"/>
      <c r="Z727" s="118"/>
    </row>
    <row r="728" ht="15.75" customHeight="1">
      <c r="Y728" s="117"/>
      <c r="Z728" s="118"/>
    </row>
    <row r="729" ht="15.75" customHeight="1">
      <c r="Y729" s="117"/>
      <c r="Z729" s="118"/>
    </row>
    <row r="730" ht="15.75" customHeight="1">
      <c r="Y730" s="117"/>
      <c r="Z730" s="118"/>
    </row>
    <row r="731" ht="15.75" customHeight="1">
      <c r="Y731" s="117"/>
      <c r="Z731" s="118"/>
    </row>
    <row r="732" ht="15.75" customHeight="1">
      <c r="Y732" s="117"/>
      <c r="Z732" s="118"/>
    </row>
    <row r="733" ht="15.75" customHeight="1">
      <c r="Y733" s="117"/>
      <c r="Z733" s="118"/>
    </row>
    <row r="734" ht="15.75" customHeight="1">
      <c r="Y734" s="117"/>
      <c r="Z734" s="118"/>
    </row>
    <row r="735" ht="15.75" customHeight="1">
      <c r="Y735" s="117"/>
      <c r="Z735" s="118"/>
    </row>
    <row r="736" ht="15.75" customHeight="1">
      <c r="Y736" s="117"/>
      <c r="Z736" s="118"/>
    </row>
    <row r="737" ht="15.75" customHeight="1">
      <c r="Y737" s="117"/>
      <c r="Z737" s="118"/>
    </row>
    <row r="738" ht="15.75" customHeight="1">
      <c r="Y738" s="117"/>
      <c r="Z738" s="118"/>
    </row>
    <row r="739" ht="15.75" customHeight="1">
      <c r="Y739" s="117"/>
      <c r="Z739" s="118"/>
    </row>
    <row r="740" ht="15.75" customHeight="1">
      <c r="Y740" s="117"/>
      <c r="Z740" s="118"/>
    </row>
    <row r="741" ht="15.75" customHeight="1">
      <c r="Y741" s="117"/>
      <c r="Z741" s="118"/>
    </row>
    <row r="742" ht="15.75" customHeight="1">
      <c r="Y742" s="117"/>
      <c r="Z742" s="118"/>
    </row>
    <row r="743" ht="15.75" customHeight="1">
      <c r="Y743" s="117"/>
      <c r="Z743" s="118"/>
    </row>
    <row r="744" ht="15.75" customHeight="1">
      <c r="Y744" s="117"/>
      <c r="Z744" s="118"/>
    </row>
    <row r="745" ht="15.75" customHeight="1">
      <c r="Y745" s="117"/>
      <c r="Z745" s="118"/>
    </row>
    <row r="746" ht="15.75" customHeight="1">
      <c r="Y746" s="117"/>
      <c r="Z746" s="118"/>
    </row>
    <row r="747" ht="15.75" customHeight="1">
      <c r="Y747" s="117"/>
      <c r="Z747" s="118"/>
    </row>
    <row r="748" ht="15.75" customHeight="1">
      <c r="Y748" s="117"/>
      <c r="Z748" s="118"/>
    </row>
    <row r="749" ht="15.75" customHeight="1">
      <c r="Y749" s="117"/>
      <c r="Z749" s="118"/>
    </row>
    <row r="750" ht="15.75" customHeight="1">
      <c r="Y750" s="117"/>
      <c r="Z750" s="118"/>
    </row>
    <row r="751" ht="15.75" customHeight="1">
      <c r="Y751" s="117"/>
      <c r="Z751" s="118"/>
    </row>
    <row r="752" ht="15.75" customHeight="1">
      <c r="Y752" s="117"/>
      <c r="Z752" s="118"/>
    </row>
    <row r="753" ht="15.75" customHeight="1">
      <c r="Y753" s="117"/>
      <c r="Z753" s="118"/>
    </row>
    <row r="754" ht="15.75" customHeight="1">
      <c r="Y754" s="117"/>
      <c r="Z754" s="118"/>
    </row>
    <row r="755" ht="15.75" customHeight="1">
      <c r="Y755" s="117"/>
      <c r="Z755" s="118"/>
    </row>
    <row r="756" ht="15.75" customHeight="1">
      <c r="Y756" s="117"/>
      <c r="Z756" s="118"/>
    </row>
    <row r="757" ht="15.75" customHeight="1">
      <c r="Y757" s="117"/>
      <c r="Z757" s="118"/>
    </row>
    <row r="758" ht="15.75" customHeight="1">
      <c r="Y758" s="117"/>
      <c r="Z758" s="118"/>
    </row>
    <row r="759" ht="15.75" customHeight="1">
      <c r="Y759" s="117"/>
      <c r="Z759" s="118"/>
    </row>
    <row r="760" ht="15.75" customHeight="1">
      <c r="Y760" s="117"/>
      <c r="Z760" s="118"/>
    </row>
    <row r="761" ht="15.75" customHeight="1">
      <c r="Y761" s="117"/>
      <c r="Z761" s="118"/>
    </row>
    <row r="762" ht="15.75" customHeight="1">
      <c r="Y762" s="117"/>
      <c r="Z762" s="118"/>
    </row>
    <row r="763" ht="15.75" customHeight="1">
      <c r="Y763" s="117"/>
      <c r="Z763" s="118"/>
    </row>
    <row r="764" ht="15.75" customHeight="1">
      <c r="Y764" s="117"/>
      <c r="Z764" s="118"/>
    </row>
    <row r="765" ht="15.75" customHeight="1">
      <c r="Y765" s="117"/>
      <c r="Z765" s="118"/>
    </row>
    <row r="766" ht="15.75" customHeight="1">
      <c r="Y766" s="117"/>
      <c r="Z766" s="118"/>
    </row>
    <row r="767" ht="15.75" customHeight="1">
      <c r="Y767" s="117"/>
      <c r="Z767" s="118"/>
    </row>
    <row r="768" ht="15.75" customHeight="1">
      <c r="Y768" s="117"/>
      <c r="Z768" s="118"/>
    </row>
    <row r="769" ht="15.75" customHeight="1">
      <c r="Y769" s="117"/>
      <c r="Z769" s="118"/>
    </row>
    <row r="770" ht="15.75" customHeight="1">
      <c r="Y770" s="117"/>
      <c r="Z770" s="118"/>
    </row>
    <row r="771" ht="15.75" customHeight="1">
      <c r="Y771" s="117"/>
      <c r="Z771" s="118"/>
    </row>
    <row r="772" ht="15.75" customHeight="1">
      <c r="Y772" s="117"/>
      <c r="Z772" s="118"/>
    </row>
    <row r="773" ht="15.75" customHeight="1">
      <c r="Y773" s="117"/>
      <c r="Z773" s="118"/>
    </row>
    <row r="774" ht="15.75" customHeight="1">
      <c r="Y774" s="117"/>
      <c r="Z774" s="118"/>
    </row>
    <row r="775" ht="15.75" customHeight="1">
      <c r="Y775" s="117"/>
      <c r="Z775" s="118"/>
    </row>
    <row r="776" ht="15.75" customHeight="1">
      <c r="Y776" s="117"/>
      <c r="Z776" s="118"/>
    </row>
    <row r="777" ht="15.75" customHeight="1">
      <c r="Y777" s="117"/>
      <c r="Z777" s="118"/>
    </row>
    <row r="778" ht="15.75" customHeight="1">
      <c r="Y778" s="117"/>
      <c r="Z778" s="118"/>
    </row>
    <row r="779" ht="15.75" customHeight="1">
      <c r="Y779" s="117"/>
      <c r="Z779" s="118"/>
    </row>
    <row r="780" ht="15.75" customHeight="1">
      <c r="Y780" s="117"/>
      <c r="Z780" s="118"/>
    </row>
    <row r="781" ht="15.75" customHeight="1">
      <c r="Y781" s="117"/>
      <c r="Z781" s="118"/>
    </row>
    <row r="782" ht="15.75" customHeight="1">
      <c r="Y782" s="117"/>
      <c r="Z782" s="118"/>
    </row>
    <row r="783" ht="15.75" customHeight="1">
      <c r="Y783" s="117"/>
      <c r="Z783" s="118"/>
    </row>
    <row r="784" ht="15.75" customHeight="1">
      <c r="Y784" s="117"/>
      <c r="Z784" s="118"/>
    </row>
    <row r="785" ht="15.75" customHeight="1">
      <c r="Y785" s="117"/>
      <c r="Z785" s="118"/>
    </row>
    <row r="786" ht="15.75" customHeight="1">
      <c r="Y786" s="117"/>
      <c r="Z786" s="118"/>
    </row>
    <row r="787" ht="15.75" customHeight="1">
      <c r="Y787" s="117"/>
      <c r="Z787" s="118"/>
    </row>
    <row r="788" ht="15.75" customHeight="1">
      <c r="Y788" s="117"/>
      <c r="Z788" s="118"/>
    </row>
    <row r="789" ht="15.75" customHeight="1">
      <c r="Y789" s="117"/>
      <c r="Z789" s="118"/>
    </row>
    <row r="790" ht="15.75" customHeight="1">
      <c r="Y790" s="117"/>
      <c r="Z790" s="118"/>
    </row>
    <row r="791" ht="15.75" customHeight="1">
      <c r="Y791" s="117"/>
      <c r="Z791" s="118"/>
    </row>
    <row r="792" ht="15.75" customHeight="1">
      <c r="Y792" s="117"/>
      <c r="Z792" s="118"/>
    </row>
    <row r="793" ht="15.75" customHeight="1">
      <c r="Y793" s="117"/>
      <c r="Z793" s="118"/>
    </row>
    <row r="794" ht="15.75" customHeight="1">
      <c r="Y794" s="117"/>
      <c r="Z794" s="118"/>
    </row>
    <row r="795" ht="15.75" customHeight="1">
      <c r="Y795" s="117"/>
      <c r="Z795" s="118"/>
    </row>
    <row r="796" ht="15.75" customHeight="1">
      <c r="Y796" s="117"/>
      <c r="Z796" s="118"/>
    </row>
    <row r="797" ht="15.75" customHeight="1">
      <c r="Y797" s="117"/>
      <c r="Z797" s="118"/>
    </row>
    <row r="798" ht="15.75" customHeight="1">
      <c r="Y798" s="117"/>
      <c r="Z798" s="118"/>
    </row>
    <row r="799" ht="15.75" customHeight="1">
      <c r="Y799" s="117"/>
      <c r="Z799" s="118"/>
    </row>
    <row r="800" ht="15.75" customHeight="1">
      <c r="Y800" s="117"/>
      <c r="Z800" s="118"/>
    </row>
    <row r="801" ht="15.75" customHeight="1">
      <c r="Y801" s="117"/>
      <c r="Z801" s="118"/>
    </row>
    <row r="802" ht="15.75" customHeight="1">
      <c r="Y802" s="117"/>
      <c r="Z802" s="118"/>
    </row>
    <row r="803" ht="15.75" customHeight="1">
      <c r="Y803" s="117"/>
      <c r="Z803" s="118"/>
    </row>
    <row r="804" ht="15.75" customHeight="1">
      <c r="Y804" s="117"/>
      <c r="Z804" s="118"/>
    </row>
    <row r="805" ht="15.75" customHeight="1">
      <c r="Y805" s="117"/>
      <c r="Z805" s="118"/>
    </row>
    <row r="806" ht="15.75" customHeight="1">
      <c r="Y806" s="117"/>
      <c r="Z806" s="118"/>
    </row>
    <row r="807" ht="15.75" customHeight="1">
      <c r="Y807" s="117"/>
      <c r="Z807" s="118"/>
    </row>
    <row r="808" ht="15.75" customHeight="1">
      <c r="Y808" s="117"/>
      <c r="Z808" s="118"/>
    </row>
    <row r="809" ht="15.75" customHeight="1">
      <c r="Y809" s="117"/>
      <c r="Z809" s="118"/>
    </row>
    <row r="810" ht="15.75" customHeight="1">
      <c r="Y810" s="117"/>
      <c r="Z810" s="118"/>
    </row>
    <row r="811" ht="15.75" customHeight="1">
      <c r="Y811" s="117"/>
      <c r="Z811" s="118"/>
    </row>
    <row r="812" ht="15.75" customHeight="1">
      <c r="Y812" s="117"/>
      <c r="Z812" s="118"/>
    </row>
    <row r="813" ht="15.75" customHeight="1">
      <c r="Y813" s="117"/>
      <c r="Z813" s="118"/>
    </row>
    <row r="814" ht="15.75" customHeight="1">
      <c r="Y814" s="117"/>
      <c r="Z814" s="118"/>
    </row>
    <row r="815" ht="15.75" customHeight="1">
      <c r="Y815" s="117"/>
      <c r="Z815" s="118"/>
    </row>
    <row r="816" ht="15.75" customHeight="1">
      <c r="Y816" s="117"/>
      <c r="Z816" s="118"/>
    </row>
    <row r="817" ht="15.75" customHeight="1">
      <c r="Y817" s="117"/>
      <c r="Z817" s="118"/>
    </row>
    <row r="818" ht="15.75" customHeight="1">
      <c r="Y818" s="117"/>
      <c r="Z818" s="118"/>
    </row>
    <row r="819" ht="15.75" customHeight="1">
      <c r="Y819" s="117"/>
      <c r="Z819" s="118"/>
    </row>
    <row r="820" ht="15.75" customHeight="1">
      <c r="Y820" s="117"/>
      <c r="Z820" s="118"/>
    </row>
    <row r="821" ht="15.75" customHeight="1">
      <c r="Y821" s="117"/>
      <c r="Z821" s="118"/>
    </row>
    <row r="822" ht="15.75" customHeight="1">
      <c r="Y822" s="117"/>
      <c r="Z822" s="118"/>
    </row>
    <row r="823" ht="15.75" customHeight="1">
      <c r="Y823" s="117"/>
      <c r="Z823" s="118"/>
    </row>
    <row r="824" ht="15.75" customHeight="1">
      <c r="Y824" s="117"/>
      <c r="Z824" s="118"/>
    </row>
    <row r="825" ht="15.75" customHeight="1">
      <c r="Y825" s="117"/>
      <c r="Z825" s="118"/>
    </row>
    <row r="826" ht="15.75" customHeight="1">
      <c r="Y826" s="117"/>
      <c r="Z826" s="118"/>
    </row>
    <row r="827" ht="15.75" customHeight="1">
      <c r="Y827" s="117"/>
      <c r="Z827" s="118"/>
    </row>
    <row r="828" ht="15.75" customHeight="1">
      <c r="Y828" s="117"/>
      <c r="Z828" s="118"/>
    </row>
    <row r="829" ht="15.75" customHeight="1">
      <c r="Y829" s="117"/>
      <c r="Z829" s="118"/>
    </row>
    <row r="830" ht="15.75" customHeight="1">
      <c r="Y830" s="117"/>
      <c r="Z830" s="118"/>
    </row>
    <row r="831" ht="15.75" customHeight="1">
      <c r="Y831" s="117"/>
      <c r="Z831" s="118"/>
    </row>
    <row r="832" ht="15.75" customHeight="1">
      <c r="Y832" s="117"/>
      <c r="Z832" s="118"/>
    </row>
    <row r="833" ht="15.75" customHeight="1">
      <c r="Y833" s="117"/>
      <c r="Z833" s="118"/>
    </row>
    <row r="834" ht="15.75" customHeight="1">
      <c r="Y834" s="117"/>
      <c r="Z834" s="118"/>
    </row>
    <row r="835" ht="15.75" customHeight="1">
      <c r="Y835" s="117"/>
      <c r="Z835" s="118"/>
    </row>
    <row r="836" ht="15.75" customHeight="1">
      <c r="Y836" s="117"/>
      <c r="Z836" s="118"/>
    </row>
    <row r="837" ht="15.75" customHeight="1">
      <c r="Y837" s="117"/>
      <c r="Z837" s="118"/>
    </row>
    <row r="838" ht="15.75" customHeight="1">
      <c r="Y838" s="117"/>
      <c r="Z838" s="118"/>
    </row>
    <row r="839" ht="15.75" customHeight="1">
      <c r="Y839" s="117"/>
      <c r="Z839" s="118"/>
    </row>
    <row r="840" ht="15.75" customHeight="1">
      <c r="Y840" s="117"/>
      <c r="Z840" s="118"/>
    </row>
    <row r="841" ht="15.75" customHeight="1">
      <c r="Y841" s="117"/>
      <c r="Z841" s="118"/>
    </row>
    <row r="842" ht="15.75" customHeight="1">
      <c r="Y842" s="117"/>
      <c r="Z842" s="118"/>
    </row>
    <row r="843" ht="15.75" customHeight="1">
      <c r="Y843" s="117"/>
      <c r="Z843" s="118"/>
    </row>
    <row r="844" ht="15.75" customHeight="1">
      <c r="Y844" s="117"/>
      <c r="Z844" s="118"/>
    </row>
    <row r="845" ht="15.75" customHeight="1">
      <c r="Y845" s="117"/>
      <c r="Z845" s="118"/>
    </row>
    <row r="846" ht="15.75" customHeight="1">
      <c r="Y846" s="117"/>
      <c r="Z846" s="118"/>
    </row>
    <row r="847" ht="15.75" customHeight="1">
      <c r="Y847" s="117"/>
      <c r="Z847" s="118"/>
    </row>
    <row r="848" ht="15.75" customHeight="1">
      <c r="Y848" s="117"/>
      <c r="Z848" s="118"/>
    </row>
    <row r="849" ht="15.75" customHeight="1">
      <c r="Y849" s="117"/>
      <c r="Z849" s="118"/>
    </row>
    <row r="850" ht="15.75" customHeight="1">
      <c r="Y850" s="117"/>
      <c r="Z850" s="118"/>
    </row>
    <row r="851" ht="15.75" customHeight="1">
      <c r="Y851" s="117"/>
      <c r="Z851" s="118"/>
    </row>
    <row r="852" ht="15.75" customHeight="1">
      <c r="Y852" s="117"/>
      <c r="Z852" s="118"/>
    </row>
    <row r="853" ht="15.75" customHeight="1">
      <c r="Y853" s="117"/>
      <c r="Z853" s="118"/>
    </row>
    <row r="854" ht="15.75" customHeight="1">
      <c r="Y854" s="117"/>
      <c r="Z854" s="118"/>
    </row>
    <row r="855" ht="15.75" customHeight="1">
      <c r="Y855" s="117"/>
      <c r="Z855" s="118"/>
    </row>
    <row r="856" ht="15.75" customHeight="1">
      <c r="Y856" s="117"/>
      <c r="Z856" s="118"/>
    </row>
    <row r="857" ht="15.75" customHeight="1">
      <c r="Y857" s="117"/>
      <c r="Z857" s="118"/>
    </row>
    <row r="858" ht="15.75" customHeight="1">
      <c r="Y858" s="117"/>
      <c r="Z858" s="118"/>
    </row>
    <row r="859" ht="15.75" customHeight="1">
      <c r="Y859" s="117"/>
      <c r="Z859" s="118"/>
    </row>
    <row r="860" ht="15.75" customHeight="1">
      <c r="Y860" s="117"/>
      <c r="Z860" s="118"/>
    </row>
    <row r="861" ht="15.75" customHeight="1">
      <c r="Y861" s="117"/>
      <c r="Z861" s="118"/>
    </row>
    <row r="862" ht="15.75" customHeight="1">
      <c r="Y862" s="117"/>
      <c r="Z862" s="118"/>
    </row>
    <row r="863" ht="15.75" customHeight="1">
      <c r="Y863" s="117"/>
      <c r="Z863" s="118"/>
    </row>
    <row r="864" ht="15.75" customHeight="1">
      <c r="Y864" s="117"/>
      <c r="Z864" s="118"/>
    </row>
    <row r="865" ht="15.75" customHeight="1">
      <c r="Y865" s="117"/>
      <c r="Z865" s="118"/>
    </row>
    <row r="866" ht="15.75" customHeight="1">
      <c r="Y866" s="117"/>
      <c r="Z866" s="118"/>
    </row>
    <row r="867" ht="15.75" customHeight="1">
      <c r="Y867" s="117"/>
      <c r="Z867" s="118"/>
    </row>
    <row r="868" ht="15.75" customHeight="1">
      <c r="Y868" s="117"/>
      <c r="Z868" s="118"/>
    </row>
    <row r="869" ht="15.75" customHeight="1">
      <c r="Y869" s="117"/>
      <c r="Z869" s="118"/>
    </row>
    <row r="870" ht="15.75" customHeight="1">
      <c r="Y870" s="117"/>
      <c r="Z870" s="118"/>
    </row>
    <row r="871" ht="15.75" customHeight="1">
      <c r="Y871" s="117"/>
      <c r="Z871" s="118"/>
    </row>
    <row r="872" ht="15.75" customHeight="1">
      <c r="Y872" s="117"/>
      <c r="Z872" s="118"/>
    </row>
    <row r="873" ht="15.75" customHeight="1">
      <c r="Y873" s="117"/>
      <c r="Z873" s="118"/>
    </row>
    <row r="874" ht="15.75" customHeight="1">
      <c r="Y874" s="117"/>
      <c r="Z874" s="118"/>
    </row>
    <row r="875" ht="15.75" customHeight="1">
      <c r="Y875" s="117"/>
      <c r="Z875" s="118"/>
    </row>
    <row r="876" ht="15.75" customHeight="1">
      <c r="Y876" s="117"/>
      <c r="Z876" s="118"/>
    </row>
    <row r="877" ht="15.75" customHeight="1">
      <c r="Y877" s="117"/>
      <c r="Z877" s="118"/>
    </row>
    <row r="878" ht="15.75" customHeight="1">
      <c r="Y878" s="117"/>
      <c r="Z878" s="118"/>
    </row>
    <row r="879" ht="15.75" customHeight="1">
      <c r="Y879" s="117"/>
      <c r="Z879" s="118"/>
    </row>
    <row r="880" ht="15.75" customHeight="1">
      <c r="Y880" s="117"/>
      <c r="Z880" s="118"/>
    </row>
    <row r="881" ht="15.75" customHeight="1">
      <c r="Y881" s="117"/>
      <c r="Z881" s="118"/>
    </row>
    <row r="882" ht="15.75" customHeight="1">
      <c r="Y882" s="117"/>
      <c r="Z882" s="118"/>
    </row>
    <row r="883" ht="15.75" customHeight="1">
      <c r="Y883" s="117"/>
      <c r="Z883" s="118"/>
    </row>
    <row r="884" ht="15.75" customHeight="1">
      <c r="Y884" s="117"/>
      <c r="Z884" s="118"/>
    </row>
    <row r="885" ht="15.75" customHeight="1">
      <c r="Y885" s="117"/>
      <c r="Z885" s="118"/>
    </row>
    <row r="886" ht="15.75" customHeight="1">
      <c r="Y886" s="117"/>
      <c r="Z886" s="118"/>
    </row>
    <row r="887" ht="15.75" customHeight="1">
      <c r="Y887" s="117"/>
      <c r="Z887" s="118"/>
    </row>
    <row r="888" ht="15.75" customHeight="1">
      <c r="Y888" s="117"/>
      <c r="Z888" s="118"/>
    </row>
    <row r="889" ht="15.75" customHeight="1">
      <c r="Y889" s="117"/>
      <c r="Z889" s="118"/>
    </row>
    <row r="890" ht="15.75" customHeight="1">
      <c r="Y890" s="117"/>
      <c r="Z890" s="118"/>
    </row>
    <row r="891" ht="15.75" customHeight="1">
      <c r="Y891" s="117"/>
      <c r="Z891" s="118"/>
    </row>
    <row r="892" ht="15.75" customHeight="1">
      <c r="Y892" s="117"/>
      <c r="Z892" s="118"/>
    </row>
    <row r="893" ht="15.75" customHeight="1">
      <c r="Y893" s="117"/>
      <c r="Z893" s="118"/>
    </row>
    <row r="894" ht="15.75" customHeight="1">
      <c r="Y894" s="117"/>
      <c r="Z894" s="118"/>
    </row>
    <row r="895" ht="15.75" customHeight="1">
      <c r="Y895" s="117"/>
      <c r="Z895" s="118"/>
    </row>
    <row r="896" ht="15.75" customHeight="1">
      <c r="Y896" s="117"/>
      <c r="Z896" s="118"/>
    </row>
    <row r="897" ht="15.75" customHeight="1">
      <c r="Y897" s="117"/>
      <c r="Z897" s="118"/>
    </row>
    <row r="898" ht="15.75" customHeight="1">
      <c r="Y898" s="117"/>
      <c r="Z898" s="118"/>
    </row>
    <row r="899" ht="15.75" customHeight="1">
      <c r="Y899" s="117"/>
      <c r="Z899" s="118"/>
    </row>
    <row r="900" ht="15.75" customHeight="1">
      <c r="Y900" s="117"/>
      <c r="Z900" s="118"/>
    </row>
    <row r="901" ht="15.75" customHeight="1">
      <c r="Y901" s="117"/>
      <c r="Z901" s="118"/>
    </row>
    <row r="902" ht="15.75" customHeight="1">
      <c r="Y902" s="117"/>
      <c r="Z902" s="118"/>
    </row>
    <row r="903" ht="15.75" customHeight="1">
      <c r="Y903" s="117"/>
      <c r="Z903" s="118"/>
    </row>
    <row r="904" ht="15.75" customHeight="1">
      <c r="Y904" s="117"/>
      <c r="Z904" s="118"/>
    </row>
    <row r="905" ht="15.75" customHeight="1">
      <c r="Y905" s="117"/>
      <c r="Z905" s="118"/>
    </row>
    <row r="906" ht="15.75" customHeight="1">
      <c r="Y906" s="117"/>
      <c r="Z906" s="118"/>
    </row>
    <row r="907" ht="15.75" customHeight="1">
      <c r="Y907" s="117"/>
      <c r="Z907" s="118"/>
    </row>
    <row r="908" ht="15.75" customHeight="1">
      <c r="Y908" s="117"/>
      <c r="Z908" s="118"/>
    </row>
    <row r="909" ht="15.75" customHeight="1">
      <c r="Y909" s="117"/>
      <c r="Z909" s="118"/>
    </row>
    <row r="910" ht="15.75" customHeight="1">
      <c r="Y910" s="117"/>
      <c r="Z910" s="118"/>
    </row>
    <row r="911" ht="15.75" customHeight="1">
      <c r="Y911" s="117"/>
      <c r="Z911" s="118"/>
    </row>
    <row r="912" ht="15.75" customHeight="1">
      <c r="Y912" s="117"/>
      <c r="Z912" s="118"/>
    </row>
    <row r="913" ht="15.75" customHeight="1">
      <c r="Y913" s="117"/>
      <c r="Z913" s="118"/>
    </row>
    <row r="914" ht="15.75" customHeight="1">
      <c r="Y914" s="117"/>
      <c r="Z914" s="118"/>
    </row>
    <row r="915" ht="15.75" customHeight="1">
      <c r="Y915" s="117"/>
      <c r="Z915" s="118"/>
    </row>
    <row r="916" ht="15.75" customHeight="1">
      <c r="Y916" s="117"/>
      <c r="Z916" s="118"/>
    </row>
    <row r="917" ht="15.75" customHeight="1">
      <c r="Y917" s="117"/>
      <c r="Z917" s="118"/>
    </row>
    <row r="918" ht="15.75" customHeight="1">
      <c r="Y918" s="117"/>
      <c r="Z918" s="118"/>
    </row>
    <row r="919" ht="15.75" customHeight="1">
      <c r="Y919" s="117"/>
      <c r="Z919" s="118"/>
    </row>
    <row r="920" ht="15.75" customHeight="1">
      <c r="Y920" s="117"/>
      <c r="Z920" s="118"/>
    </row>
    <row r="921" ht="15.75" customHeight="1">
      <c r="Y921" s="117"/>
      <c r="Z921" s="118"/>
    </row>
    <row r="922" ht="15.75" customHeight="1">
      <c r="Y922" s="117"/>
      <c r="Z922" s="118"/>
    </row>
    <row r="923" ht="15.75" customHeight="1">
      <c r="Y923" s="117"/>
      <c r="Z923" s="118"/>
    </row>
    <row r="924" ht="15.75" customHeight="1">
      <c r="Y924" s="117"/>
      <c r="Z924" s="118"/>
    </row>
    <row r="925" ht="15.75" customHeight="1">
      <c r="Y925" s="117"/>
      <c r="Z925" s="118"/>
    </row>
    <row r="926" ht="15.75" customHeight="1">
      <c r="Y926" s="117"/>
      <c r="Z926" s="118"/>
    </row>
    <row r="927" ht="15.75" customHeight="1">
      <c r="Y927" s="117"/>
      <c r="Z927" s="118"/>
    </row>
    <row r="928" ht="15.75" customHeight="1">
      <c r="Y928" s="117"/>
      <c r="Z928" s="118"/>
    </row>
    <row r="929" ht="15.75" customHeight="1">
      <c r="Y929" s="117"/>
      <c r="Z929" s="118"/>
    </row>
    <row r="930" ht="15.75" customHeight="1">
      <c r="Y930" s="117"/>
      <c r="Z930" s="118"/>
    </row>
    <row r="931" ht="15.75" customHeight="1">
      <c r="Y931" s="117"/>
      <c r="Z931" s="118"/>
    </row>
    <row r="932" ht="15.75" customHeight="1">
      <c r="Y932" s="117"/>
      <c r="Z932" s="118"/>
    </row>
    <row r="933" ht="15.75" customHeight="1">
      <c r="Y933" s="117"/>
      <c r="Z933" s="118"/>
    </row>
    <row r="934" ht="15.75" customHeight="1">
      <c r="Y934" s="117"/>
      <c r="Z934" s="118"/>
    </row>
    <row r="935" ht="15.75" customHeight="1">
      <c r="Y935" s="117"/>
      <c r="Z935" s="118"/>
    </row>
    <row r="936" ht="15.75" customHeight="1">
      <c r="Y936" s="117"/>
      <c r="Z936" s="118"/>
    </row>
    <row r="937" ht="15.75" customHeight="1">
      <c r="Y937" s="117"/>
      <c r="Z937" s="118"/>
    </row>
    <row r="938" ht="15.75" customHeight="1">
      <c r="Y938" s="117"/>
      <c r="Z938" s="118"/>
    </row>
    <row r="939" ht="15.75" customHeight="1">
      <c r="Y939" s="117"/>
      <c r="Z939" s="118"/>
    </row>
    <row r="940" ht="15.75" customHeight="1">
      <c r="Y940" s="117"/>
      <c r="Z940" s="118"/>
    </row>
    <row r="941" ht="15.75" customHeight="1">
      <c r="Y941" s="117"/>
      <c r="Z941" s="118"/>
    </row>
    <row r="942" ht="15.75" customHeight="1">
      <c r="Y942" s="117"/>
      <c r="Z942" s="118"/>
    </row>
    <row r="943" ht="15.75" customHeight="1">
      <c r="Y943" s="117"/>
      <c r="Z943" s="118"/>
    </row>
    <row r="944" ht="15.75" customHeight="1">
      <c r="Y944" s="117"/>
      <c r="Z944" s="118"/>
    </row>
    <row r="945" ht="15.75" customHeight="1">
      <c r="Y945" s="117"/>
      <c r="Z945" s="118"/>
    </row>
    <row r="946" ht="15.75" customHeight="1">
      <c r="Y946" s="117"/>
      <c r="Z946" s="118"/>
    </row>
    <row r="947" ht="15.75" customHeight="1">
      <c r="Y947" s="117"/>
      <c r="Z947" s="118"/>
    </row>
    <row r="948" ht="15.75" customHeight="1">
      <c r="Y948" s="117"/>
      <c r="Z948" s="118"/>
    </row>
    <row r="949" ht="15.75" customHeight="1">
      <c r="Y949" s="117"/>
      <c r="Z949" s="118"/>
    </row>
    <row r="950" ht="15.75" customHeight="1">
      <c r="Y950" s="117"/>
      <c r="Z950" s="118"/>
    </row>
    <row r="951" ht="15.75" customHeight="1">
      <c r="Y951" s="117"/>
      <c r="Z951" s="118"/>
    </row>
    <row r="952" ht="15.75" customHeight="1">
      <c r="Y952" s="117"/>
      <c r="Z952" s="118"/>
    </row>
    <row r="953" ht="15.75" customHeight="1">
      <c r="Y953" s="117"/>
      <c r="Z953" s="118"/>
    </row>
    <row r="954" ht="15.75" customHeight="1">
      <c r="Y954" s="117"/>
      <c r="Z954" s="118"/>
    </row>
    <row r="955" ht="15.75" customHeight="1">
      <c r="Y955" s="117"/>
      <c r="Z955" s="118"/>
    </row>
    <row r="956" ht="15.75" customHeight="1">
      <c r="Y956" s="117"/>
      <c r="Z956" s="118"/>
    </row>
    <row r="957" ht="15.75" customHeight="1">
      <c r="Y957" s="117"/>
      <c r="Z957" s="118"/>
    </row>
    <row r="958" ht="15.75" customHeight="1">
      <c r="Y958" s="117"/>
      <c r="Z958" s="118"/>
    </row>
    <row r="959" ht="15.75" customHeight="1">
      <c r="Y959" s="117"/>
      <c r="Z959" s="118"/>
    </row>
    <row r="960" ht="15.75" customHeight="1">
      <c r="Y960" s="117"/>
      <c r="Z960" s="118"/>
    </row>
    <row r="961" ht="15.75" customHeight="1">
      <c r="Y961" s="117"/>
      <c r="Z961" s="118"/>
    </row>
    <row r="962" ht="15.75" customHeight="1">
      <c r="Y962" s="117"/>
      <c r="Z962" s="118"/>
    </row>
    <row r="963" ht="15.75" customHeight="1">
      <c r="Y963" s="117"/>
      <c r="Z963" s="118"/>
    </row>
    <row r="964" ht="15.75" customHeight="1">
      <c r="Y964" s="117"/>
      <c r="Z964" s="118"/>
    </row>
    <row r="965" ht="15.75" customHeight="1">
      <c r="Y965" s="117"/>
      <c r="Z965" s="118"/>
    </row>
    <row r="966" ht="15.75" customHeight="1">
      <c r="Y966" s="117"/>
      <c r="Z966" s="118"/>
    </row>
    <row r="967" ht="15.75" customHeight="1">
      <c r="Y967" s="117"/>
      <c r="Z967" s="118"/>
    </row>
    <row r="968" ht="15.75" customHeight="1">
      <c r="Y968" s="117"/>
      <c r="Z968" s="118"/>
    </row>
    <row r="969" ht="15.75" customHeight="1">
      <c r="Y969" s="117"/>
      <c r="Z969" s="118"/>
    </row>
    <row r="970" ht="15.75" customHeight="1">
      <c r="Y970" s="117"/>
      <c r="Z970" s="118"/>
    </row>
    <row r="971" ht="15.75" customHeight="1">
      <c r="Y971" s="117"/>
      <c r="Z971" s="118"/>
    </row>
    <row r="972" ht="15.75" customHeight="1">
      <c r="Y972" s="117"/>
      <c r="Z972" s="118"/>
    </row>
    <row r="973" ht="15.75" customHeight="1">
      <c r="Y973" s="117"/>
      <c r="Z973" s="118"/>
    </row>
    <row r="974" ht="15.75" customHeight="1">
      <c r="Y974" s="117"/>
      <c r="Z974" s="118"/>
    </row>
    <row r="975" ht="15.75" customHeight="1">
      <c r="Y975" s="117"/>
      <c r="Z975" s="118"/>
    </row>
    <row r="976" ht="15.75" customHeight="1">
      <c r="Y976" s="117"/>
      <c r="Z976" s="118"/>
    </row>
    <row r="977" ht="15.75" customHeight="1">
      <c r="Y977" s="117"/>
      <c r="Z977" s="118"/>
    </row>
    <row r="978" ht="15.75" customHeight="1">
      <c r="Y978" s="117"/>
      <c r="Z978" s="118"/>
    </row>
    <row r="979" ht="15.75" customHeight="1">
      <c r="Y979" s="117"/>
      <c r="Z979" s="118"/>
    </row>
    <row r="980" ht="15.75" customHeight="1">
      <c r="Y980" s="117"/>
      <c r="Z980" s="118"/>
    </row>
    <row r="981" ht="15.75" customHeight="1">
      <c r="Y981" s="117"/>
      <c r="Z981" s="118"/>
    </row>
    <row r="982" ht="15.75" customHeight="1">
      <c r="Y982" s="117"/>
      <c r="Z982" s="118"/>
    </row>
    <row r="983" ht="15.75" customHeight="1">
      <c r="Y983" s="117"/>
      <c r="Z983" s="118"/>
    </row>
    <row r="984" ht="15.75" customHeight="1">
      <c r="Y984" s="117"/>
      <c r="Z984" s="118"/>
    </row>
    <row r="985" ht="15.75" customHeight="1">
      <c r="Y985" s="117"/>
      <c r="Z985" s="118"/>
    </row>
    <row r="986" ht="15.75" customHeight="1">
      <c r="Y986" s="117"/>
      <c r="Z986" s="118"/>
    </row>
    <row r="987" ht="15.75" customHeight="1">
      <c r="Y987" s="117"/>
      <c r="Z987" s="118"/>
    </row>
    <row r="988" ht="15.75" customHeight="1">
      <c r="Y988" s="117"/>
      <c r="Z988" s="118"/>
    </row>
    <row r="989" ht="15.75" customHeight="1">
      <c r="Y989" s="117"/>
      <c r="Z989" s="118"/>
    </row>
    <row r="990" ht="15.75" customHeight="1">
      <c r="Y990" s="117"/>
      <c r="Z990" s="118"/>
    </row>
    <row r="991" ht="15.75" customHeight="1">
      <c r="Y991" s="117"/>
      <c r="Z991" s="118"/>
    </row>
    <row r="992" ht="15.75" customHeight="1">
      <c r="Y992" s="117"/>
      <c r="Z992" s="118"/>
    </row>
    <row r="993" ht="15.75" customHeight="1">
      <c r="Y993" s="117"/>
      <c r="Z993" s="118"/>
    </row>
    <row r="994" ht="15.75" customHeight="1">
      <c r="Y994" s="117"/>
      <c r="Z994" s="118"/>
    </row>
    <row r="995" ht="15.75" customHeight="1">
      <c r="Y995" s="117"/>
      <c r="Z995" s="118"/>
    </row>
    <row r="996" ht="15.75" customHeight="1">
      <c r="Y996" s="117"/>
      <c r="Z996" s="118"/>
    </row>
    <row r="997" ht="15.75" customHeight="1">
      <c r="Y997" s="117"/>
      <c r="Z997" s="118"/>
    </row>
    <row r="998" ht="15.75" customHeight="1">
      <c r="Y998" s="117"/>
      <c r="Z998" s="123"/>
    </row>
  </sheetData>
  <mergeCells count="2">
    <mergeCell ref="F2:L2"/>
    <mergeCell ref="T2:AA2"/>
  </mergeCells>
  <conditionalFormatting sqref="F9:L10">
    <cfRule type="expression" dxfId="6" priority="1">
      <formula>"VLOOKUP(טבלת_שדות[קבוצת שדות],Table1[#ALL],2)"</formula>
    </cfRule>
  </conditionalFormatting>
  <dataValidations>
    <dataValidation type="list" allowBlank="1" showErrorMessage="1" sqref="I1 W1">
      <formula1>'אינדקס'!$B$13:$B$225</formula1>
    </dataValidation>
    <dataValidation type="list" allowBlank="1" sqref="T10:T100">
      <formula1>"אפשרות 1,אפשרות 2"</formula1>
    </dataValidation>
    <dataValidation allowBlank="1" showDropDown="1" sqref="H10:H100"/>
    <dataValidation type="list" allowBlank="1" sqref="U10:U100 W10:W100 AA10:AB100 G10:G100 I10:I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S1"/>
    <hyperlink display="מעבר לדף הבית" location="'אינדקס'!A1" ref="U1"/>
  </hyperlinks>
  <printOptions/>
  <pageMargins bottom="1.0" footer="0.0" header="0.0" left="0.75" right="0.75" top="1.0"/>
  <pageSetup orientation="landscape"/>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6" width="23.0"/>
    <col customWidth="1" min="17" max="21" width="25.14"/>
    <col customWidth="1" min="22" max="22" width="5.0"/>
    <col customWidth="1" min="23" max="23" width="22.0"/>
    <col customWidth="1" min="24" max="24" width="18.43"/>
    <col customWidth="1" min="25" max="25" width="20.0"/>
    <col customWidth="1" min="26" max="26" width="24.0"/>
    <col customWidth="1" min="27" max="27" width="21.14"/>
    <col customWidth="1" min="28" max="28" width="18.0"/>
    <col customWidth="1" min="29" max="30" width="16.0"/>
    <col customWidth="1" min="31" max="31" width="20.0"/>
    <col customWidth="1" min="32" max="32" width="22.0"/>
    <col customWidth="1" min="33" max="33" width="44.57"/>
    <col customWidth="1" min="34" max="34" width="51.43"/>
    <col customWidth="1" min="35" max="35" width="22.0"/>
    <col customWidth="1" min="36" max="39" width="8.71"/>
  </cols>
  <sheetData>
    <row r="1" ht="39.75" customHeight="1">
      <c r="E1" s="2"/>
      <c r="F1" s="3"/>
      <c r="G1" s="6" t="s">
        <v>0</v>
      </c>
      <c r="H1" s="8" t="s">
        <v>1</v>
      </c>
      <c r="I1" s="10" t="s">
        <v>3</v>
      </c>
      <c r="J1" s="12" t="s">
        <v>5</v>
      </c>
      <c r="K1" s="13"/>
      <c r="L1" s="16" t="s">
        <v>7</v>
      </c>
      <c r="M1" s="17"/>
      <c r="N1" s="17"/>
      <c r="O1" s="17"/>
      <c r="P1" s="17"/>
      <c r="Q1" s="18"/>
      <c r="R1" s="18"/>
      <c r="S1" s="18"/>
      <c r="T1" s="18"/>
      <c r="U1" s="18"/>
      <c r="V1" s="18"/>
      <c r="W1" s="16" t="s">
        <v>8</v>
      </c>
      <c r="X1" s="3"/>
      <c r="Y1" s="6" t="s">
        <v>0</v>
      </c>
      <c r="Z1" s="8" t="s">
        <v>1</v>
      </c>
      <c r="AA1" s="11" t="s">
        <v>9</v>
      </c>
      <c r="AB1" s="20" t="str">
        <f>VLOOKUP(AA1,'אינדקס'!B13:C91,2)</f>
        <v>פתח גיליון</v>
      </c>
      <c r="AC1" s="21"/>
      <c r="AD1" s="23"/>
      <c r="AE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17"/>
      <c r="P2" s="17"/>
      <c r="Q2" s="30"/>
      <c r="R2" s="18"/>
      <c r="S2" s="18"/>
      <c r="T2" s="18"/>
      <c r="U2" s="18"/>
      <c r="V2" s="18"/>
      <c r="W2" s="31"/>
      <c r="X2" s="27" t="str">
        <f>CONCATENATE("🎯 מטרות-העל: ", 'אינדקס'!$B$5)</f>
        <v>🎯 מטרות-העל: https://docs.google.com/open?id=16lBROr6DmzGS3AaRedcxxBk5nYQMegngfhrp90Jz1JQ</v>
      </c>
      <c r="Y2" s="28"/>
      <c r="Z2" s="28"/>
      <c r="AA2" s="28"/>
      <c r="AB2" s="28"/>
      <c r="AC2" s="28"/>
      <c r="AD2" s="28"/>
      <c r="AE2" s="29"/>
    </row>
    <row r="3">
      <c r="E3" s="33"/>
      <c r="F3" s="35"/>
      <c r="G3" s="35"/>
      <c r="H3" s="35"/>
      <c r="I3" s="35"/>
      <c r="J3" s="35"/>
      <c r="K3" s="35"/>
      <c r="L3" s="37"/>
      <c r="W3" s="33"/>
      <c r="X3" s="35"/>
      <c r="Y3" s="35"/>
      <c r="Z3" s="35"/>
      <c r="AA3" s="35"/>
      <c r="AB3" s="39"/>
      <c r="AC3" s="40"/>
      <c r="AD3" s="40"/>
      <c r="AE3" s="42"/>
    </row>
    <row r="4">
      <c r="E4" s="43"/>
      <c r="F4" s="47" t="str">
        <f t="shared" ref="F4:F7" si="1">IF(G4="","",ROW()-6)</f>
        <v/>
      </c>
      <c r="G4" s="47"/>
      <c r="H4" s="47"/>
      <c r="I4" s="47"/>
      <c r="J4" s="47"/>
      <c r="K4" s="47"/>
      <c r="L4" s="49"/>
      <c r="V4" s="52" t="str">
        <f t="shared" ref="V4:V7" si="2">IF(W4="","",ROW()-6)</f>
        <v/>
      </c>
      <c r="W4" s="43"/>
      <c r="X4" s="47" t="str">
        <f t="shared" ref="X4:X7" si="3">IF(Y4="","",ROW()-6)</f>
        <v/>
      </c>
      <c r="Y4" s="47"/>
      <c r="Z4" s="47"/>
      <c r="AA4" s="47"/>
      <c r="AB4" s="55"/>
      <c r="AC4" s="56"/>
      <c r="AD4" s="56"/>
      <c r="AE4" s="57"/>
    </row>
    <row r="5">
      <c r="E5" s="43"/>
      <c r="F5" s="47" t="str">
        <f t="shared" si="1"/>
        <v/>
      </c>
      <c r="G5" s="47"/>
      <c r="H5" s="47"/>
      <c r="I5" s="47"/>
      <c r="J5" s="47"/>
      <c r="K5" s="47"/>
      <c r="L5" s="49"/>
      <c r="V5" s="52" t="str">
        <f t="shared" si="2"/>
        <v/>
      </c>
      <c r="W5" s="43"/>
      <c r="X5" s="47" t="str">
        <f t="shared" si="3"/>
        <v/>
      </c>
      <c r="Y5" s="47"/>
      <c r="Z5" s="47"/>
      <c r="AA5" s="47"/>
      <c r="AB5" s="55"/>
      <c r="AC5" s="56"/>
      <c r="AD5" s="56"/>
      <c r="AE5" s="57"/>
    </row>
    <row r="6">
      <c r="E6" s="43"/>
      <c r="F6" s="47" t="str">
        <f t="shared" si="1"/>
        <v/>
      </c>
      <c r="G6" s="47"/>
      <c r="H6" s="47"/>
      <c r="I6" s="47"/>
      <c r="J6" s="47"/>
      <c r="K6" s="47"/>
      <c r="L6" s="49"/>
      <c r="V6" s="52" t="str">
        <f t="shared" si="2"/>
        <v/>
      </c>
      <c r="W6" s="43"/>
      <c r="X6" s="47" t="str">
        <f t="shared" si="3"/>
        <v/>
      </c>
      <c r="Y6" s="47"/>
      <c r="Z6" s="47"/>
      <c r="AA6" s="47"/>
      <c r="AB6" s="55"/>
      <c r="AC6" s="56"/>
      <c r="AD6" s="56"/>
      <c r="AE6" s="57"/>
    </row>
    <row r="7">
      <c r="E7" s="60"/>
      <c r="F7" s="62" t="str">
        <f t="shared" si="1"/>
        <v/>
      </c>
      <c r="G7" s="62"/>
      <c r="H7" s="62"/>
      <c r="I7" s="62"/>
      <c r="J7" s="62"/>
      <c r="K7" s="62"/>
      <c r="L7" s="63"/>
      <c r="V7" s="52" t="str">
        <f t="shared" si="2"/>
        <v/>
      </c>
      <c r="W7" s="60"/>
      <c r="X7" s="62" t="str">
        <f t="shared" si="3"/>
        <v/>
      </c>
      <c r="Y7" s="62"/>
      <c r="Z7" s="62"/>
      <c r="AA7" s="62"/>
      <c r="AB7" s="65"/>
      <c r="AC7" s="66"/>
      <c r="AD7" s="66"/>
      <c r="AE7" s="68"/>
    </row>
    <row r="8">
      <c r="E8" s="69"/>
      <c r="F8" s="70"/>
      <c r="G8" s="71"/>
      <c r="H8" s="71"/>
      <c r="I8" s="71"/>
      <c r="J8" s="71"/>
      <c r="K8" s="71"/>
      <c r="L8" s="71"/>
      <c r="V8" s="72"/>
      <c r="W8" s="73"/>
      <c r="X8" s="73"/>
      <c r="Y8" s="73"/>
      <c r="Z8" s="73"/>
      <c r="AA8" s="73"/>
      <c r="AB8" s="74"/>
      <c r="AC8" s="75"/>
      <c r="AD8" s="75"/>
      <c r="AE8" s="76"/>
    </row>
    <row r="9" ht="26.25" customHeight="1">
      <c r="B9" s="77"/>
      <c r="C9" s="77"/>
      <c r="D9" s="77"/>
      <c r="E9" s="78"/>
      <c r="F9" s="79" t="s">
        <v>17</v>
      </c>
      <c r="G9" s="81" t="s">
        <v>21</v>
      </c>
      <c r="H9" s="82" t="s">
        <v>22</v>
      </c>
      <c r="I9" s="81" t="s">
        <v>23</v>
      </c>
      <c r="J9" s="81" t="s">
        <v>24</v>
      </c>
      <c r="K9" s="81" t="s">
        <v>25</v>
      </c>
      <c r="L9" s="81" t="s">
        <v>26</v>
      </c>
      <c r="M9" s="84" t="s">
        <v>28</v>
      </c>
      <c r="N9" s="84" t="s">
        <v>29</v>
      </c>
      <c r="O9" s="84" t="s">
        <v>31</v>
      </c>
      <c r="P9" s="84" t="s">
        <v>32</v>
      </c>
      <c r="Q9" s="77"/>
      <c r="R9" s="77"/>
      <c r="S9" s="77"/>
      <c r="T9" s="77"/>
      <c r="U9" s="77"/>
      <c r="V9" s="79" t="s">
        <v>17</v>
      </c>
      <c r="W9" s="81" t="s">
        <v>33</v>
      </c>
      <c r="X9" s="81" t="s">
        <v>34</v>
      </c>
      <c r="Y9" s="81" t="s">
        <v>35</v>
      </c>
      <c r="Z9" s="81" t="s">
        <v>36</v>
      </c>
      <c r="AA9" s="81" t="s">
        <v>38</v>
      </c>
      <c r="AB9" s="81" t="s">
        <v>26</v>
      </c>
      <c r="AC9" s="85"/>
      <c r="AD9" s="85"/>
      <c r="AE9" s="86" t="s">
        <v>39</v>
      </c>
      <c r="AF9" s="86" t="s">
        <v>40</v>
      </c>
      <c r="AG9" s="86" t="s">
        <v>41</v>
      </c>
      <c r="AH9" s="86" t="s">
        <v>42</v>
      </c>
    </row>
    <row r="10" ht="26.25" customHeight="1">
      <c r="B10" s="86" t="s">
        <v>44</v>
      </c>
      <c r="C10" s="86" t="s">
        <v>45</v>
      </c>
      <c r="D10" s="77"/>
      <c r="E10" s="88"/>
      <c r="F10" s="89">
        <f t="shared" ref="F10:F69" si="4">IF(G10="","",ROW()-9)</f>
        <v>1</v>
      </c>
      <c r="G10" s="90" t="s">
        <v>47</v>
      </c>
      <c r="H10" s="91" t="s">
        <v>48</v>
      </c>
      <c r="I10" s="90" t="s">
        <v>49</v>
      </c>
      <c r="J10" s="93" t="b">
        <v>1</v>
      </c>
      <c r="K10" s="94" t="s">
        <v>51</v>
      </c>
      <c r="L10" s="89"/>
      <c r="M10" s="96"/>
      <c r="N10" s="96"/>
      <c r="O10" s="96"/>
      <c r="P10" s="96"/>
      <c r="Q10" s="95"/>
      <c r="R10" s="95"/>
      <c r="S10" s="95"/>
      <c r="T10" s="95"/>
      <c r="U10" s="95"/>
      <c r="V10" s="89" t="str">
        <f t="shared" ref="V10:V198" si="5">IF(W10="","",ROW()-6)</f>
        <v/>
      </c>
      <c r="W10" s="89"/>
      <c r="X10" s="92"/>
      <c r="Y10" s="92"/>
      <c r="Z10" s="89"/>
      <c r="AA10" s="92"/>
      <c r="AB10" s="89"/>
      <c r="AC10" s="97"/>
      <c r="AD10" s="97"/>
      <c r="AE10" s="98"/>
      <c r="AF10" s="92"/>
      <c r="AG10" s="99"/>
      <c r="AH10" s="99"/>
    </row>
    <row r="11" ht="26.25" customHeight="1">
      <c r="B11" s="91" t="s">
        <v>47</v>
      </c>
      <c r="C11" s="93" t="b">
        <v>0</v>
      </c>
      <c r="D11" s="77"/>
      <c r="E11" s="101"/>
      <c r="F11" s="89">
        <f t="shared" si="4"/>
        <v>2</v>
      </c>
      <c r="G11" s="90" t="s">
        <v>47</v>
      </c>
      <c r="H11" s="102" t="s">
        <v>64</v>
      </c>
      <c r="I11" s="90" t="s">
        <v>60</v>
      </c>
      <c r="J11" s="93" t="b">
        <v>1</v>
      </c>
      <c r="K11" s="89"/>
      <c r="L11" s="89"/>
      <c r="M11" s="96"/>
      <c r="N11" s="96"/>
      <c r="O11" s="96"/>
      <c r="P11" s="96"/>
      <c r="Q11" s="95"/>
      <c r="R11" s="95"/>
      <c r="S11" s="95"/>
      <c r="T11" s="95"/>
      <c r="U11" s="95"/>
      <c r="V11" s="89" t="str">
        <f t="shared" si="5"/>
        <v/>
      </c>
      <c r="W11" s="89"/>
      <c r="X11" s="92"/>
      <c r="Y11" s="92"/>
      <c r="Z11" s="89"/>
      <c r="AA11" s="92"/>
      <c r="AB11" s="89"/>
      <c r="AC11" s="104"/>
      <c r="AD11" s="104"/>
      <c r="AE11" s="92"/>
      <c r="AF11" s="92"/>
      <c r="AG11" s="99"/>
      <c r="AH11" s="99"/>
    </row>
    <row r="12" ht="26.25" customHeight="1">
      <c r="B12" s="91" t="s">
        <v>65</v>
      </c>
      <c r="C12" s="93" t="b">
        <v>1</v>
      </c>
      <c r="D12" s="77"/>
      <c r="E12" s="101"/>
      <c r="F12" s="89">
        <f t="shared" si="4"/>
        <v>3</v>
      </c>
      <c r="G12" s="90" t="s">
        <v>47</v>
      </c>
      <c r="H12" s="102" t="s">
        <v>66</v>
      </c>
      <c r="I12" s="90" t="s">
        <v>60</v>
      </c>
      <c r="J12" s="93" t="b">
        <v>1</v>
      </c>
      <c r="K12" s="89"/>
      <c r="L12" s="89"/>
      <c r="M12" s="96"/>
      <c r="N12" s="96"/>
      <c r="O12" s="96"/>
      <c r="P12" s="96"/>
      <c r="Q12" s="95"/>
      <c r="R12" s="95"/>
      <c r="S12" s="95"/>
      <c r="T12" s="95"/>
      <c r="U12" s="95"/>
      <c r="V12" s="89" t="str">
        <f t="shared" si="5"/>
        <v/>
      </c>
      <c r="W12" s="89"/>
      <c r="X12" s="92"/>
      <c r="Y12" s="92"/>
      <c r="Z12" s="89"/>
      <c r="AA12" s="92"/>
      <c r="AB12" s="89"/>
      <c r="AC12" s="104"/>
      <c r="AD12" s="104"/>
      <c r="AE12" s="92"/>
      <c r="AF12" s="92"/>
      <c r="AG12" s="99"/>
      <c r="AH12" s="99"/>
    </row>
    <row r="13" ht="26.25" customHeight="1">
      <c r="B13" s="91"/>
      <c r="C13" s="93" t="b">
        <v>0</v>
      </c>
      <c r="D13" s="77"/>
      <c r="E13" s="101"/>
      <c r="F13" s="89">
        <f t="shared" si="4"/>
        <v>4</v>
      </c>
      <c r="G13" s="90" t="s">
        <v>47</v>
      </c>
      <c r="H13" s="102" t="s">
        <v>69</v>
      </c>
      <c r="I13" s="90" t="s">
        <v>70</v>
      </c>
      <c r="J13" s="93" t="b">
        <v>1</v>
      </c>
      <c r="K13" s="89"/>
      <c r="L13" s="89"/>
      <c r="M13" s="96"/>
      <c r="N13" s="96"/>
      <c r="O13" s="96"/>
      <c r="P13" s="96"/>
      <c r="Q13" s="95"/>
      <c r="R13" s="95"/>
      <c r="S13" s="95"/>
      <c r="T13" s="95"/>
      <c r="U13" s="95"/>
      <c r="V13" s="89" t="str">
        <f t="shared" si="5"/>
        <v/>
      </c>
      <c r="W13" s="89"/>
      <c r="X13" s="92"/>
      <c r="Y13" s="92"/>
      <c r="Z13" s="89"/>
      <c r="AA13" s="92"/>
      <c r="AB13" s="89"/>
      <c r="AC13" s="104"/>
      <c r="AD13" s="104"/>
      <c r="AE13" s="92"/>
      <c r="AF13" s="92"/>
      <c r="AG13" s="99"/>
      <c r="AH13" s="99"/>
    </row>
    <row r="14" ht="26.25" customHeight="1">
      <c r="B14" s="91"/>
      <c r="C14" s="93" t="b">
        <v>0</v>
      </c>
      <c r="D14" s="77"/>
      <c r="E14" s="101"/>
      <c r="F14" s="89">
        <f t="shared" si="4"/>
        <v>5</v>
      </c>
      <c r="G14" s="90" t="s">
        <v>47</v>
      </c>
      <c r="H14" s="102" t="s">
        <v>71</v>
      </c>
      <c r="I14" s="90" t="s">
        <v>72</v>
      </c>
      <c r="J14" s="93" t="b">
        <v>1</v>
      </c>
      <c r="K14" s="89"/>
      <c r="L14" s="89"/>
      <c r="M14" s="96"/>
      <c r="N14" s="96"/>
      <c r="O14" s="96"/>
      <c r="P14" s="96"/>
      <c r="Q14" s="95"/>
      <c r="R14" s="95"/>
      <c r="S14" s="95"/>
      <c r="T14" s="95"/>
      <c r="U14" s="95"/>
      <c r="V14" s="89" t="str">
        <f t="shared" si="5"/>
        <v/>
      </c>
      <c r="W14" s="89"/>
      <c r="X14" s="92"/>
      <c r="Y14" s="92"/>
      <c r="Z14" s="89"/>
      <c r="AA14" s="92"/>
      <c r="AB14" s="89"/>
      <c r="AC14" s="104"/>
      <c r="AD14" s="104"/>
      <c r="AE14" s="92"/>
      <c r="AF14" s="92"/>
      <c r="AG14" s="99"/>
      <c r="AH14" s="99"/>
    </row>
    <row r="15" ht="26.25" customHeight="1">
      <c r="B15" s="99"/>
      <c r="C15" s="93" t="b">
        <v>0</v>
      </c>
      <c r="D15" s="77"/>
      <c r="E15" s="101"/>
      <c r="F15" s="89">
        <f t="shared" si="4"/>
        <v>6</v>
      </c>
      <c r="G15" s="90" t="s">
        <v>47</v>
      </c>
      <c r="H15" s="102" t="s">
        <v>73</v>
      </c>
      <c r="I15" s="90" t="s">
        <v>74</v>
      </c>
      <c r="J15" s="93" t="b">
        <v>0</v>
      </c>
      <c r="K15" s="89"/>
      <c r="L15" s="89"/>
      <c r="M15" s="96"/>
      <c r="N15" s="96"/>
      <c r="O15" s="96"/>
      <c r="P15" s="96"/>
      <c r="Q15" s="95"/>
      <c r="R15" s="95"/>
      <c r="S15" s="95"/>
      <c r="T15" s="95"/>
      <c r="U15" s="95"/>
      <c r="V15" s="89" t="str">
        <f t="shared" si="5"/>
        <v/>
      </c>
      <c r="W15" s="89"/>
      <c r="X15" s="92"/>
      <c r="Y15" s="92"/>
      <c r="Z15" s="89"/>
      <c r="AA15" s="92"/>
      <c r="AB15" s="89"/>
      <c r="AC15" s="104"/>
      <c r="AD15" s="104"/>
      <c r="AE15" s="92"/>
      <c r="AF15" s="92"/>
      <c r="AG15" s="99"/>
      <c r="AH15" s="99"/>
    </row>
    <row r="16" ht="26.25" customHeight="1">
      <c r="B16" s="99"/>
      <c r="C16" s="93" t="b">
        <v>0</v>
      </c>
      <c r="D16" s="77"/>
      <c r="E16" s="101"/>
      <c r="F16" s="89">
        <f t="shared" si="4"/>
        <v>7</v>
      </c>
      <c r="G16" s="90" t="s">
        <v>47</v>
      </c>
      <c r="H16" s="102" t="s">
        <v>75</v>
      </c>
      <c r="I16" s="90" t="s">
        <v>76</v>
      </c>
      <c r="J16" s="93" t="b">
        <v>0</v>
      </c>
      <c r="K16" s="89"/>
      <c r="L16" s="89"/>
      <c r="M16" s="96"/>
      <c r="N16" s="96"/>
      <c r="O16" s="96"/>
      <c r="P16" s="96"/>
      <c r="Q16" s="95"/>
      <c r="R16" s="95"/>
      <c r="S16" s="95"/>
      <c r="T16" s="95"/>
      <c r="U16" s="95"/>
      <c r="V16" s="89" t="str">
        <f t="shared" si="5"/>
        <v/>
      </c>
      <c r="W16" s="89"/>
      <c r="X16" s="92"/>
      <c r="Y16" s="92"/>
      <c r="Z16" s="89"/>
      <c r="AA16" s="92"/>
      <c r="AB16" s="89"/>
      <c r="AC16" s="104"/>
      <c r="AD16" s="104"/>
      <c r="AE16" s="92"/>
      <c r="AF16" s="92"/>
      <c r="AG16" s="99"/>
      <c r="AH16" s="99"/>
    </row>
    <row r="17" ht="26.25" customHeight="1">
      <c r="B17" s="99"/>
      <c r="C17" s="93" t="b">
        <v>0</v>
      </c>
      <c r="D17" s="77"/>
      <c r="E17" s="101"/>
      <c r="F17" s="89">
        <f t="shared" si="4"/>
        <v>8</v>
      </c>
      <c r="G17" s="90" t="s">
        <v>47</v>
      </c>
      <c r="H17" s="102" t="s">
        <v>77</v>
      </c>
      <c r="I17" s="90" t="s">
        <v>74</v>
      </c>
      <c r="J17" s="93" t="b">
        <v>0</v>
      </c>
      <c r="K17" s="89"/>
      <c r="L17" s="89"/>
      <c r="M17" s="96"/>
      <c r="N17" s="96"/>
      <c r="O17" s="96"/>
      <c r="P17" s="96"/>
      <c r="Q17" s="95"/>
      <c r="R17" s="95"/>
      <c r="S17" s="95"/>
      <c r="T17" s="95"/>
      <c r="U17" s="95"/>
      <c r="V17" s="89" t="str">
        <f t="shared" si="5"/>
        <v/>
      </c>
      <c r="W17" s="89"/>
      <c r="X17" s="92"/>
      <c r="Y17" s="92"/>
      <c r="Z17" s="89"/>
      <c r="AA17" s="92"/>
      <c r="AB17" s="89"/>
      <c r="AC17" s="104"/>
      <c r="AD17" s="104"/>
      <c r="AE17" s="92"/>
      <c r="AF17" s="92"/>
      <c r="AG17" s="99"/>
      <c r="AH17" s="99"/>
    </row>
    <row r="18" ht="26.25" customHeight="1">
      <c r="B18" s="99"/>
      <c r="C18" s="93" t="b">
        <v>0</v>
      </c>
      <c r="D18" s="77"/>
      <c r="E18" s="101"/>
      <c r="F18" s="89">
        <f t="shared" si="4"/>
        <v>9</v>
      </c>
      <c r="G18" s="90" t="s">
        <v>47</v>
      </c>
      <c r="H18" s="102" t="s">
        <v>78</v>
      </c>
      <c r="I18" s="90" t="s">
        <v>72</v>
      </c>
      <c r="J18" s="93" t="b">
        <v>0</v>
      </c>
      <c r="K18" s="89"/>
      <c r="L18" s="89"/>
      <c r="M18" s="96"/>
      <c r="N18" s="96"/>
      <c r="O18" s="96"/>
      <c r="P18" s="96"/>
      <c r="Q18" s="95"/>
      <c r="R18" s="95"/>
      <c r="S18" s="95"/>
      <c r="T18" s="95"/>
      <c r="U18" s="95"/>
      <c r="V18" s="89" t="str">
        <f t="shared" si="5"/>
        <v/>
      </c>
      <c r="W18" s="89"/>
      <c r="X18" s="92"/>
      <c r="Y18" s="92"/>
      <c r="Z18" s="89"/>
      <c r="AA18" s="92"/>
      <c r="AB18" s="89"/>
      <c r="AC18" s="104"/>
      <c r="AD18" s="104"/>
      <c r="AE18" s="92"/>
      <c r="AF18" s="92"/>
      <c r="AG18" s="99"/>
      <c r="AH18" s="99"/>
    </row>
    <row r="19" ht="26.25" customHeight="1">
      <c r="B19" s="99"/>
      <c r="C19" s="93" t="b">
        <v>0</v>
      </c>
      <c r="D19" s="77"/>
      <c r="E19" s="101"/>
      <c r="F19" s="89">
        <f t="shared" si="4"/>
        <v>10</v>
      </c>
      <c r="G19" s="90" t="s">
        <v>65</v>
      </c>
      <c r="H19" s="102" t="s">
        <v>79</v>
      </c>
      <c r="I19" s="90" t="s">
        <v>70</v>
      </c>
      <c r="J19" s="93" t="b">
        <v>1</v>
      </c>
      <c r="K19" s="91" t="s">
        <v>80</v>
      </c>
      <c r="L19" s="89"/>
      <c r="M19" s="96"/>
      <c r="N19" s="96"/>
      <c r="O19" s="96"/>
      <c r="P19" s="96"/>
      <c r="Q19" s="95"/>
      <c r="R19" s="95"/>
      <c r="S19" s="95"/>
      <c r="T19" s="95"/>
      <c r="U19" s="95"/>
      <c r="V19" s="89" t="str">
        <f t="shared" si="5"/>
        <v/>
      </c>
      <c r="W19" s="89"/>
      <c r="X19" s="92"/>
      <c r="Y19" s="92"/>
      <c r="Z19" s="89"/>
      <c r="AA19" s="92"/>
      <c r="AB19" s="89"/>
      <c r="AC19" s="104"/>
      <c r="AD19" s="104"/>
      <c r="AE19" s="92"/>
      <c r="AF19" s="92"/>
      <c r="AG19" s="99"/>
      <c r="AH19" s="99"/>
    </row>
    <row r="20" ht="26.25" customHeight="1">
      <c r="B20" s="99"/>
      <c r="C20" s="93" t="b">
        <v>0</v>
      </c>
      <c r="D20" s="77"/>
      <c r="E20" s="101"/>
      <c r="F20" s="89">
        <f t="shared" si="4"/>
        <v>11</v>
      </c>
      <c r="G20" s="90" t="s">
        <v>65</v>
      </c>
      <c r="H20" s="102" t="s">
        <v>81</v>
      </c>
      <c r="I20" s="90" t="s">
        <v>82</v>
      </c>
      <c r="J20" s="93" t="b">
        <v>1</v>
      </c>
      <c r="K20" s="91"/>
      <c r="L20" s="89"/>
      <c r="M20" s="96"/>
      <c r="N20" s="96"/>
      <c r="O20" s="96"/>
      <c r="P20" s="96"/>
      <c r="Q20" s="95"/>
      <c r="R20" s="95"/>
      <c r="S20" s="95"/>
      <c r="T20" s="95"/>
      <c r="U20" s="95"/>
      <c r="V20" s="89" t="str">
        <f t="shared" si="5"/>
        <v/>
      </c>
      <c r="W20" s="89"/>
      <c r="X20" s="92"/>
      <c r="Y20" s="92"/>
      <c r="Z20" s="89"/>
      <c r="AA20" s="92"/>
      <c r="AB20" s="89"/>
      <c r="AC20" s="104"/>
      <c r="AD20" s="104"/>
      <c r="AE20" s="92"/>
      <c r="AF20" s="92"/>
      <c r="AG20" s="99"/>
      <c r="AH20" s="99"/>
    </row>
    <row r="21" ht="26.25" customHeight="1">
      <c r="B21" s="99"/>
      <c r="C21" s="93" t="b">
        <v>0</v>
      </c>
      <c r="D21" s="77"/>
      <c r="E21" s="101"/>
      <c r="F21" s="89">
        <f t="shared" si="4"/>
        <v>12</v>
      </c>
      <c r="G21" s="90" t="s">
        <v>65</v>
      </c>
      <c r="H21" s="102" t="s">
        <v>84</v>
      </c>
      <c r="I21" s="90" t="s">
        <v>85</v>
      </c>
      <c r="J21" s="93" t="b">
        <v>0</v>
      </c>
      <c r="K21" s="89"/>
      <c r="L21" s="89"/>
      <c r="M21" s="96"/>
      <c r="N21" s="96"/>
      <c r="O21" s="96"/>
      <c r="P21" s="96"/>
      <c r="Q21" s="95"/>
      <c r="R21" s="95"/>
      <c r="S21" s="95"/>
      <c r="T21" s="95"/>
      <c r="U21" s="95"/>
      <c r="V21" s="89" t="str">
        <f t="shared" si="5"/>
        <v/>
      </c>
      <c r="W21" s="89"/>
      <c r="X21" s="92"/>
      <c r="Y21" s="92"/>
      <c r="Z21" s="89"/>
      <c r="AA21" s="92"/>
      <c r="AB21" s="89"/>
      <c r="AC21" s="104"/>
      <c r="AD21" s="104"/>
      <c r="AE21" s="92"/>
      <c r="AF21" s="92"/>
      <c r="AG21" s="99"/>
      <c r="AH21" s="99"/>
    </row>
    <row r="22" ht="26.25" customHeight="1">
      <c r="B22" s="99"/>
      <c r="C22" s="93" t="b">
        <v>0</v>
      </c>
      <c r="D22" s="77"/>
      <c r="E22" s="101"/>
      <c r="F22" s="89">
        <f t="shared" si="4"/>
        <v>13</v>
      </c>
      <c r="G22" s="90" t="s">
        <v>65</v>
      </c>
      <c r="H22" s="102" t="s">
        <v>73</v>
      </c>
      <c r="I22" s="90" t="s">
        <v>60</v>
      </c>
      <c r="J22" s="93" t="b">
        <v>0</v>
      </c>
      <c r="K22" s="89"/>
      <c r="L22" s="89"/>
      <c r="M22" s="96"/>
      <c r="N22" s="96"/>
      <c r="O22" s="96"/>
      <c r="P22" s="96"/>
      <c r="Q22" s="95"/>
      <c r="R22" s="95"/>
      <c r="S22" s="95"/>
      <c r="T22" s="95"/>
      <c r="U22" s="95"/>
      <c r="V22" s="89" t="str">
        <f t="shared" si="5"/>
        <v/>
      </c>
      <c r="W22" s="89"/>
      <c r="X22" s="92"/>
      <c r="Y22" s="92"/>
      <c r="Z22" s="89"/>
      <c r="AA22" s="92"/>
      <c r="AB22" s="89"/>
      <c r="AC22" s="104"/>
      <c r="AD22" s="104"/>
      <c r="AE22" s="92"/>
      <c r="AF22" s="92"/>
      <c r="AG22" s="99"/>
      <c r="AH22" s="99"/>
    </row>
    <row r="23" ht="26.25" customHeight="1">
      <c r="B23" s="99"/>
      <c r="C23" s="93" t="b">
        <v>0</v>
      </c>
      <c r="D23" s="77"/>
      <c r="E23" s="101"/>
      <c r="F23" s="89">
        <f t="shared" si="4"/>
        <v>14</v>
      </c>
      <c r="G23" s="90" t="s">
        <v>65</v>
      </c>
      <c r="H23" s="106" t="s">
        <v>89</v>
      </c>
      <c r="I23" s="90" t="s">
        <v>90</v>
      </c>
      <c r="J23" s="93" t="b">
        <v>0</v>
      </c>
      <c r="K23" s="89"/>
      <c r="L23" s="89"/>
      <c r="M23" s="96"/>
      <c r="N23" s="96"/>
      <c r="O23" s="96"/>
      <c r="P23" s="96"/>
      <c r="Q23" s="95"/>
      <c r="R23" s="95"/>
      <c r="S23" s="95"/>
      <c r="T23" s="95"/>
      <c r="U23" s="95"/>
      <c r="V23" s="89" t="str">
        <f t="shared" si="5"/>
        <v/>
      </c>
      <c r="W23" s="89"/>
      <c r="X23" s="92"/>
      <c r="Y23" s="92"/>
      <c r="Z23" s="89"/>
      <c r="AA23" s="92"/>
      <c r="AB23" s="89"/>
      <c r="AC23" s="104"/>
      <c r="AD23" s="104"/>
      <c r="AE23" s="92"/>
      <c r="AF23" s="92"/>
      <c r="AG23" s="99"/>
      <c r="AH23" s="99"/>
    </row>
    <row r="24" ht="26.25" customHeight="1">
      <c r="B24" s="99"/>
      <c r="C24" s="93" t="b">
        <v>0</v>
      </c>
      <c r="D24" s="77"/>
      <c r="E24" s="101"/>
      <c r="F24" s="89" t="str">
        <f t="shared" si="4"/>
        <v/>
      </c>
      <c r="G24" s="90"/>
      <c r="H24" s="102"/>
      <c r="I24" s="90"/>
      <c r="J24" s="93" t="b">
        <v>0</v>
      </c>
      <c r="K24" s="89"/>
      <c r="L24" s="89"/>
      <c r="M24" s="96"/>
      <c r="N24" s="96"/>
      <c r="O24" s="96"/>
      <c r="P24" s="96"/>
      <c r="Q24" s="95"/>
      <c r="R24" s="95"/>
      <c r="S24" s="95"/>
      <c r="T24" s="95"/>
      <c r="U24" s="95"/>
      <c r="V24" s="89" t="str">
        <f t="shared" si="5"/>
        <v/>
      </c>
      <c r="W24" s="89"/>
      <c r="X24" s="92"/>
      <c r="Y24" s="92"/>
      <c r="Z24" s="89"/>
      <c r="AA24" s="92"/>
      <c r="AB24" s="89"/>
      <c r="AC24" s="104"/>
      <c r="AD24" s="104"/>
      <c r="AE24" s="92"/>
      <c r="AF24" s="92"/>
      <c r="AG24" s="99"/>
      <c r="AH24" s="99"/>
    </row>
    <row r="25" ht="26.25" customHeight="1">
      <c r="B25" s="99"/>
      <c r="C25" s="93" t="b">
        <v>0</v>
      </c>
      <c r="D25" s="77"/>
      <c r="E25" s="101"/>
      <c r="F25" s="89" t="str">
        <f t="shared" si="4"/>
        <v/>
      </c>
      <c r="G25" s="108"/>
      <c r="H25" s="102"/>
      <c r="I25" s="108"/>
      <c r="J25" s="93" t="b">
        <v>0</v>
      </c>
      <c r="K25" s="89"/>
      <c r="L25" s="89"/>
      <c r="M25" s="96"/>
      <c r="N25" s="96"/>
      <c r="O25" s="96"/>
      <c r="P25" s="96"/>
      <c r="Q25" s="95"/>
      <c r="R25" s="95"/>
      <c r="S25" s="95"/>
      <c r="T25" s="95"/>
      <c r="U25" s="95"/>
      <c r="V25" s="89" t="str">
        <f t="shared" si="5"/>
        <v/>
      </c>
      <c r="W25" s="89"/>
      <c r="X25" s="92"/>
      <c r="Y25" s="92"/>
      <c r="Z25" s="89"/>
      <c r="AA25" s="92"/>
      <c r="AB25" s="89"/>
      <c r="AC25" s="104"/>
      <c r="AD25" s="104"/>
      <c r="AE25" s="92"/>
      <c r="AF25" s="92"/>
      <c r="AG25" s="99"/>
      <c r="AH25" s="99"/>
    </row>
    <row r="26" ht="26.25" customHeight="1">
      <c r="B26" s="99"/>
      <c r="C26" s="93" t="b">
        <v>0</v>
      </c>
      <c r="D26" s="77"/>
      <c r="E26" s="101"/>
      <c r="F26" s="89" t="str">
        <f t="shared" si="4"/>
        <v/>
      </c>
      <c r="G26" s="108"/>
      <c r="H26" s="102"/>
      <c r="I26" s="108"/>
      <c r="J26" s="93" t="b">
        <v>0</v>
      </c>
      <c r="K26" s="89"/>
      <c r="L26" s="89"/>
      <c r="M26" s="96"/>
      <c r="N26" s="96"/>
      <c r="O26" s="96"/>
      <c r="P26" s="96"/>
      <c r="Q26" s="95"/>
      <c r="R26" s="95"/>
      <c r="S26" s="95"/>
      <c r="T26" s="95"/>
      <c r="U26" s="95"/>
      <c r="V26" s="89" t="str">
        <f t="shared" si="5"/>
        <v/>
      </c>
      <c r="W26" s="89"/>
      <c r="X26" s="92"/>
      <c r="Y26" s="92"/>
      <c r="Z26" s="89"/>
      <c r="AA26" s="92"/>
      <c r="AB26" s="89"/>
      <c r="AC26" s="104"/>
      <c r="AD26" s="104"/>
      <c r="AE26" s="92"/>
      <c r="AF26" s="92"/>
      <c r="AG26" s="99"/>
      <c r="AH26" s="99"/>
    </row>
    <row r="27" ht="26.25" customHeight="1">
      <c r="B27" s="99"/>
      <c r="C27" s="93" t="b">
        <v>0</v>
      </c>
      <c r="D27" s="77"/>
      <c r="E27" s="101"/>
      <c r="F27" s="89" t="str">
        <f t="shared" si="4"/>
        <v/>
      </c>
      <c r="G27" s="92"/>
      <c r="H27" s="103"/>
      <c r="I27" s="92"/>
      <c r="J27" s="93" t="b">
        <v>0</v>
      </c>
      <c r="K27" s="89"/>
      <c r="L27" s="89"/>
      <c r="M27" s="96"/>
      <c r="N27" s="96"/>
      <c r="O27" s="96"/>
      <c r="P27" s="96"/>
      <c r="Q27" s="95"/>
      <c r="R27" s="95"/>
      <c r="S27" s="95"/>
      <c r="T27" s="95"/>
      <c r="U27" s="95"/>
      <c r="V27" s="89" t="str">
        <f t="shared" si="5"/>
        <v/>
      </c>
      <c r="W27" s="89"/>
      <c r="X27" s="92"/>
      <c r="Y27" s="92"/>
      <c r="Z27" s="89"/>
      <c r="AA27" s="92"/>
      <c r="AB27" s="89"/>
      <c r="AC27" s="104"/>
      <c r="AD27" s="104"/>
      <c r="AE27" s="92"/>
      <c r="AF27" s="92"/>
      <c r="AG27" s="99"/>
      <c r="AH27" s="99"/>
    </row>
    <row r="28" ht="26.25" customHeight="1">
      <c r="B28" s="99"/>
      <c r="C28" s="93" t="b">
        <v>0</v>
      </c>
      <c r="D28" s="77"/>
      <c r="E28" s="101"/>
      <c r="F28" s="89" t="str">
        <f t="shared" si="4"/>
        <v/>
      </c>
      <c r="G28" s="92"/>
      <c r="H28" s="103"/>
      <c r="I28" s="92"/>
      <c r="J28" s="93" t="b">
        <v>0</v>
      </c>
      <c r="K28" s="89"/>
      <c r="L28" s="89"/>
      <c r="M28" s="96"/>
      <c r="N28" s="96"/>
      <c r="O28" s="96"/>
      <c r="P28" s="96"/>
      <c r="Q28" s="95"/>
      <c r="R28" s="95"/>
      <c r="S28" s="95"/>
      <c r="T28" s="95"/>
      <c r="U28" s="95"/>
      <c r="V28" s="89" t="str">
        <f t="shared" si="5"/>
        <v/>
      </c>
      <c r="W28" s="89"/>
      <c r="X28" s="92"/>
      <c r="Y28" s="92"/>
      <c r="Z28" s="89"/>
      <c r="AA28" s="92"/>
      <c r="AB28" s="89"/>
      <c r="AC28" s="104"/>
      <c r="AD28" s="104"/>
      <c r="AE28" s="92"/>
      <c r="AF28" s="92"/>
      <c r="AG28" s="99"/>
      <c r="AH28" s="99"/>
    </row>
    <row r="29" ht="26.25" customHeight="1">
      <c r="B29" s="99"/>
      <c r="C29" s="93" t="b">
        <v>0</v>
      </c>
      <c r="D29" s="77"/>
      <c r="E29" s="101"/>
      <c r="F29" s="89" t="str">
        <f t="shared" si="4"/>
        <v/>
      </c>
      <c r="G29" s="92"/>
      <c r="H29" s="103"/>
      <c r="I29" s="92"/>
      <c r="J29" s="93" t="b">
        <v>0</v>
      </c>
      <c r="K29" s="89"/>
      <c r="L29" s="89"/>
      <c r="M29" s="96"/>
      <c r="N29" s="96"/>
      <c r="O29" s="96"/>
      <c r="P29" s="96"/>
      <c r="Q29" s="95"/>
      <c r="R29" s="95"/>
      <c r="S29" s="95"/>
      <c r="T29" s="95"/>
      <c r="U29" s="95"/>
      <c r="V29" s="89" t="str">
        <f t="shared" si="5"/>
        <v/>
      </c>
      <c r="W29" s="89"/>
      <c r="X29" s="92"/>
      <c r="Y29" s="92"/>
      <c r="Z29" s="89"/>
      <c r="AA29" s="92"/>
      <c r="AB29" s="89"/>
      <c r="AC29" s="104"/>
      <c r="AD29" s="104"/>
      <c r="AE29" s="92"/>
      <c r="AF29" s="92"/>
      <c r="AG29" s="99"/>
      <c r="AH29" s="99"/>
    </row>
    <row r="30" ht="26.25" customHeight="1">
      <c r="B30" s="99"/>
      <c r="C30" s="93" t="b">
        <v>0</v>
      </c>
      <c r="D30" s="77"/>
      <c r="E30" s="101"/>
      <c r="F30" s="89" t="str">
        <f t="shared" si="4"/>
        <v/>
      </c>
      <c r="G30" s="92"/>
      <c r="H30" s="103"/>
      <c r="I30" s="92"/>
      <c r="J30" s="93" t="b">
        <v>0</v>
      </c>
      <c r="K30" s="89"/>
      <c r="L30" s="89"/>
      <c r="M30" s="96"/>
      <c r="N30" s="96"/>
      <c r="O30" s="96"/>
      <c r="P30" s="96"/>
      <c r="Q30" s="95"/>
      <c r="R30" s="95"/>
      <c r="S30" s="95"/>
      <c r="T30" s="95"/>
      <c r="U30" s="95"/>
      <c r="V30" s="89" t="str">
        <f t="shared" si="5"/>
        <v/>
      </c>
      <c r="W30" s="89"/>
      <c r="X30" s="92"/>
      <c r="Y30" s="92"/>
      <c r="Z30" s="89"/>
      <c r="AA30" s="92"/>
      <c r="AB30" s="89"/>
      <c r="AC30" s="104"/>
      <c r="AD30" s="104"/>
      <c r="AE30" s="92"/>
      <c r="AF30" s="92"/>
      <c r="AG30" s="99"/>
      <c r="AH30" s="99"/>
    </row>
    <row r="31" ht="26.25" customHeight="1">
      <c r="B31" s="95"/>
      <c r="C31" s="95"/>
      <c r="D31" s="77"/>
      <c r="E31" s="101"/>
      <c r="F31" s="89" t="str">
        <f t="shared" si="4"/>
        <v/>
      </c>
      <c r="G31" s="92"/>
      <c r="H31" s="103"/>
      <c r="I31" s="92"/>
      <c r="J31" s="93" t="b">
        <v>0</v>
      </c>
      <c r="K31" s="89"/>
      <c r="L31" s="89"/>
      <c r="M31" s="96"/>
      <c r="N31" s="96"/>
      <c r="O31" s="96"/>
      <c r="P31" s="96"/>
      <c r="Q31" s="95"/>
      <c r="R31" s="95"/>
      <c r="S31" s="95"/>
      <c r="T31" s="95"/>
      <c r="U31" s="95"/>
      <c r="V31" s="89" t="str">
        <f t="shared" si="5"/>
        <v/>
      </c>
      <c r="W31" s="89"/>
      <c r="X31" s="92"/>
      <c r="Y31" s="92"/>
      <c r="Z31" s="89"/>
      <c r="AA31" s="92"/>
      <c r="AB31" s="89"/>
      <c r="AC31" s="104"/>
      <c r="AD31" s="104"/>
      <c r="AE31" s="92"/>
      <c r="AF31" s="92"/>
      <c r="AG31" s="99"/>
      <c r="AH31" s="99"/>
    </row>
    <row r="32" ht="26.25" customHeight="1">
      <c r="B32" s="95"/>
      <c r="C32" s="95"/>
      <c r="D32" s="77"/>
      <c r="E32" s="101"/>
      <c r="F32" s="89" t="str">
        <f t="shared" si="4"/>
        <v/>
      </c>
      <c r="G32" s="92"/>
      <c r="H32" s="103"/>
      <c r="I32" s="92"/>
      <c r="J32" s="93" t="b">
        <v>0</v>
      </c>
      <c r="K32" s="89"/>
      <c r="L32" s="89"/>
      <c r="M32" s="96"/>
      <c r="N32" s="96"/>
      <c r="O32" s="96"/>
      <c r="P32" s="96"/>
      <c r="Q32" s="95"/>
      <c r="R32" s="95"/>
      <c r="S32" s="95"/>
      <c r="T32" s="95"/>
      <c r="U32" s="95"/>
      <c r="V32" s="89" t="str">
        <f t="shared" si="5"/>
        <v/>
      </c>
      <c r="W32" s="89"/>
      <c r="X32" s="92"/>
      <c r="Y32" s="92"/>
      <c r="Z32" s="89"/>
      <c r="AA32" s="92"/>
      <c r="AB32" s="89"/>
      <c r="AC32" s="104"/>
      <c r="AD32" s="104"/>
      <c r="AE32" s="92"/>
      <c r="AF32" s="92"/>
      <c r="AG32" s="99"/>
      <c r="AH32" s="99"/>
    </row>
    <row r="33" ht="26.25" customHeight="1">
      <c r="B33" s="95"/>
      <c r="C33" s="95"/>
      <c r="D33" s="77"/>
      <c r="E33" s="101"/>
      <c r="F33" s="89" t="str">
        <f t="shared" si="4"/>
        <v/>
      </c>
      <c r="G33" s="92"/>
      <c r="H33" s="103"/>
      <c r="I33" s="92"/>
      <c r="J33" s="93" t="b">
        <v>0</v>
      </c>
      <c r="K33" s="89"/>
      <c r="L33" s="89"/>
      <c r="M33" s="96"/>
      <c r="N33" s="96"/>
      <c r="O33" s="96"/>
      <c r="P33" s="96"/>
      <c r="Q33" s="95"/>
      <c r="R33" s="95"/>
      <c r="S33" s="95"/>
      <c r="T33" s="95"/>
      <c r="U33" s="95"/>
      <c r="V33" s="89" t="str">
        <f t="shared" si="5"/>
        <v/>
      </c>
      <c r="W33" s="89"/>
      <c r="X33" s="92"/>
      <c r="Y33" s="92"/>
      <c r="Z33" s="89"/>
      <c r="AA33" s="92"/>
      <c r="AB33" s="89"/>
      <c r="AC33" s="104"/>
      <c r="AD33" s="104"/>
      <c r="AE33" s="92"/>
      <c r="AF33" s="92"/>
      <c r="AG33" s="99"/>
      <c r="AH33" s="99"/>
    </row>
    <row r="34" ht="26.25" customHeight="1">
      <c r="B34" s="95"/>
      <c r="C34" s="95"/>
      <c r="D34" s="77"/>
      <c r="E34" s="101"/>
      <c r="F34" s="89" t="str">
        <f t="shared" si="4"/>
        <v/>
      </c>
      <c r="G34" s="92"/>
      <c r="H34" s="103"/>
      <c r="I34" s="92"/>
      <c r="J34" s="93" t="b">
        <v>0</v>
      </c>
      <c r="K34" s="89"/>
      <c r="L34" s="89"/>
      <c r="M34" s="96"/>
      <c r="N34" s="96"/>
      <c r="O34" s="96"/>
      <c r="P34" s="96"/>
      <c r="Q34" s="95"/>
      <c r="R34" s="95"/>
      <c r="S34" s="95"/>
      <c r="T34" s="95"/>
      <c r="U34" s="95"/>
      <c r="V34" s="89" t="str">
        <f t="shared" si="5"/>
        <v/>
      </c>
      <c r="W34" s="89"/>
      <c r="X34" s="92"/>
      <c r="Y34" s="92"/>
      <c r="Z34" s="89"/>
      <c r="AA34" s="92"/>
      <c r="AB34" s="89"/>
      <c r="AC34" s="104"/>
      <c r="AD34" s="104"/>
      <c r="AE34" s="92"/>
      <c r="AF34" s="92"/>
      <c r="AG34" s="99"/>
      <c r="AH34" s="99"/>
    </row>
    <row r="35" ht="26.25" customHeight="1">
      <c r="B35" s="95"/>
      <c r="C35" s="95"/>
      <c r="D35" s="77"/>
      <c r="E35" s="101"/>
      <c r="F35" s="89" t="str">
        <f t="shared" si="4"/>
        <v/>
      </c>
      <c r="G35" s="92"/>
      <c r="H35" s="103"/>
      <c r="I35" s="92"/>
      <c r="J35" s="93" t="b">
        <v>0</v>
      </c>
      <c r="K35" s="89"/>
      <c r="L35" s="89"/>
      <c r="M35" s="96"/>
      <c r="N35" s="96"/>
      <c r="O35" s="96"/>
      <c r="P35" s="96"/>
      <c r="Q35" s="95"/>
      <c r="R35" s="95"/>
      <c r="S35" s="95"/>
      <c r="T35" s="95"/>
      <c r="U35" s="95"/>
      <c r="V35" s="89" t="str">
        <f t="shared" si="5"/>
        <v/>
      </c>
      <c r="W35" s="89"/>
      <c r="X35" s="92"/>
      <c r="Y35" s="92"/>
      <c r="Z35" s="89"/>
      <c r="AA35" s="92"/>
      <c r="AB35" s="89"/>
      <c r="AC35" s="104"/>
      <c r="AD35" s="104"/>
      <c r="AE35" s="92"/>
      <c r="AF35" s="92"/>
      <c r="AG35" s="99"/>
      <c r="AH35" s="99"/>
    </row>
    <row r="36" ht="26.25" customHeight="1">
      <c r="B36" s="95"/>
      <c r="C36" s="95"/>
      <c r="D36" s="77"/>
      <c r="E36" s="101"/>
      <c r="F36" s="89" t="str">
        <f t="shared" si="4"/>
        <v/>
      </c>
      <c r="G36" s="92"/>
      <c r="H36" s="103"/>
      <c r="I36" s="92"/>
      <c r="J36" s="93" t="b">
        <v>0</v>
      </c>
      <c r="K36" s="89"/>
      <c r="L36" s="89"/>
      <c r="M36" s="96"/>
      <c r="N36" s="96"/>
      <c r="O36" s="96"/>
      <c r="P36" s="96"/>
      <c r="Q36" s="95"/>
      <c r="R36" s="95"/>
      <c r="S36" s="95"/>
      <c r="T36" s="95"/>
      <c r="U36" s="95"/>
      <c r="V36" s="89" t="str">
        <f t="shared" si="5"/>
        <v/>
      </c>
      <c r="W36" s="89"/>
      <c r="X36" s="92"/>
      <c r="Y36" s="92"/>
      <c r="Z36" s="89"/>
      <c r="AA36" s="92"/>
      <c r="AB36" s="89"/>
      <c r="AC36" s="104"/>
      <c r="AD36" s="104"/>
      <c r="AE36" s="92"/>
      <c r="AF36" s="92"/>
      <c r="AG36" s="99"/>
      <c r="AH36" s="99"/>
    </row>
    <row r="37" ht="26.25" customHeight="1">
      <c r="B37" s="95"/>
      <c r="C37" s="95"/>
      <c r="D37" s="77"/>
      <c r="E37" s="101"/>
      <c r="F37" s="89" t="str">
        <f t="shared" si="4"/>
        <v/>
      </c>
      <c r="G37" s="92"/>
      <c r="H37" s="103"/>
      <c r="I37" s="92"/>
      <c r="J37" s="93" t="b">
        <v>0</v>
      </c>
      <c r="K37" s="89"/>
      <c r="L37" s="89"/>
      <c r="M37" s="96"/>
      <c r="N37" s="96"/>
      <c r="O37" s="96"/>
      <c r="P37" s="96"/>
      <c r="Q37" s="95"/>
      <c r="R37" s="95"/>
      <c r="S37" s="95"/>
      <c r="T37" s="95"/>
      <c r="U37" s="95"/>
      <c r="V37" s="89" t="str">
        <f t="shared" si="5"/>
        <v/>
      </c>
      <c r="W37" s="89"/>
      <c r="X37" s="92"/>
      <c r="Y37" s="92"/>
      <c r="Z37" s="89"/>
      <c r="AA37" s="92"/>
      <c r="AB37" s="89"/>
      <c r="AC37" s="104"/>
      <c r="AD37" s="104"/>
      <c r="AE37" s="92"/>
      <c r="AF37" s="92"/>
      <c r="AG37" s="99"/>
      <c r="AH37" s="99"/>
    </row>
    <row r="38" ht="26.25" customHeight="1">
      <c r="B38" s="95"/>
      <c r="C38" s="95"/>
      <c r="D38" s="77"/>
      <c r="E38" s="101"/>
      <c r="F38" s="89" t="str">
        <f t="shared" si="4"/>
        <v/>
      </c>
      <c r="G38" s="92"/>
      <c r="H38" s="103"/>
      <c r="I38" s="92"/>
      <c r="J38" s="93" t="b">
        <v>0</v>
      </c>
      <c r="K38" s="89"/>
      <c r="L38" s="89"/>
      <c r="M38" s="96"/>
      <c r="N38" s="96"/>
      <c r="O38" s="96"/>
      <c r="P38" s="96"/>
      <c r="Q38" s="95"/>
      <c r="R38" s="95"/>
      <c r="S38" s="95"/>
      <c r="T38" s="95"/>
      <c r="U38" s="95"/>
      <c r="V38" s="89" t="str">
        <f t="shared" si="5"/>
        <v/>
      </c>
      <c r="W38" s="89"/>
      <c r="X38" s="92"/>
      <c r="Y38" s="92"/>
      <c r="Z38" s="89"/>
      <c r="AA38" s="92"/>
      <c r="AB38" s="89"/>
      <c r="AC38" s="104"/>
      <c r="AD38" s="104"/>
      <c r="AE38" s="92"/>
      <c r="AF38" s="92"/>
      <c r="AG38" s="99"/>
      <c r="AH38" s="99"/>
    </row>
    <row r="39" ht="26.25" customHeight="1">
      <c r="B39" s="95"/>
      <c r="C39" s="95"/>
      <c r="D39" s="77"/>
      <c r="E39" s="101"/>
      <c r="F39" s="89" t="str">
        <f t="shared" si="4"/>
        <v/>
      </c>
      <c r="G39" s="92"/>
      <c r="H39" s="103"/>
      <c r="I39" s="92"/>
      <c r="J39" s="93" t="b">
        <v>0</v>
      </c>
      <c r="K39" s="89"/>
      <c r="L39" s="89"/>
      <c r="M39" s="96"/>
      <c r="N39" s="96"/>
      <c r="O39" s="96"/>
      <c r="P39" s="96"/>
      <c r="Q39" s="95"/>
      <c r="R39" s="95"/>
      <c r="S39" s="95"/>
      <c r="T39" s="95"/>
      <c r="U39" s="95"/>
      <c r="V39" s="89" t="str">
        <f t="shared" si="5"/>
        <v/>
      </c>
      <c r="W39" s="89"/>
      <c r="X39" s="92"/>
      <c r="Y39" s="92"/>
      <c r="Z39" s="89"/>
      <c r="AA39" s="92"/>
      <c r="AB39" s="89"/>
      <c r="AC39" s="104"/>
      <c r="AD39" s="104"/>
      <c r="AE39" s="92"/>
      <c r="AF39" s="92"/>
      <c r="AG39" s="99"/>
      <c r="AH39" s="99"/>
    </row>
    <row r="40" ht="26.25" customHeight="1">
      <c r="B40" s="95"/>
      <c r="C40" s="95"/>
      <c r="D40" s="77"/>
      <c r="E40" s="101"/>
      <c r="F40" s="89" t="str">
        <f t="shared" si="4"/>
        <v/>
      </c>
      <c r="G40" s="92"/>
      <c r="H40" s="103"/>
      <c r="I40" s="92"/>
      <c r="J40" s="93" t="b">
        <v>0</v>
      </c>
      <c r="K40" s="89"/>
      <c r="L40" s="89"/>
      <c r="M40" s="96"/>
      <c r="N40" s="96"/>
      <c r="O40" s="96"/>
      <c r="P40" s="96"/>
      <c r="Q40" s="95"/>
      <c r="R40" s="95"/>
      <c r="S40" s="95"/>
      <c r="T40" s="95"/>
      <c r="U40" s="95"/>
      <c r="V40" s="89" t="str">
        <f t="shared" si="5"/>
        <v/>
      </c>
      <c r="W40" s="89"/>
      <c r="X40" s="92"/>
      <c r="Y40" s="92"/>
      <c r="Z40" s="89"/>
      <c r="AA40" s="92"/>
      <c r="AB40" s="89"/>
      <c r="AC40" s="104"/>
      <c r="AD40" s="104"/>
      <c r="AE40" s="92"/>
      <c r="AF40" s="92"/>
      <c r="AG40" s="99"/>
      <c r="AH40" s="99"/>
    </row>
    <row r="41" ht="26.25" customHeight="1">
      <c r="B41" s="95"/>
      <c r="C41" s="95"/>
      <c r="D41" s="77"/>
      <c r="E41" s="101"/>
      <c r="F41" s="89" t="str">
        <f t="shared" si="4"/>
        <v/>
      </c>
      <c r="G41" s="92"/>
      <c r="H41" s="103"/>
      <c r="I41" s="92"/>
      <c r="J41" s="93" t="b">
        <v>0</v>
      </c>
      <c r="K41" s="89"/>
      <c r="L41" s="89"/>
      <c r="M41" s="96"/>
      <c r="N41" s="96"/>
      <c r="O41" s="96"/>
      <c r="P41" s="96"/>
      <c r="Q41" s="95"/>
      <c r="R41" s="95"/>
      <c r="S41" s="95"/>
      <c r="T41" s="95"/>
      <c r="U41" s="95"/>
      <c r="V41" s="89" t="str">
        <f t="shared" si="5"/>
        <v/>
      </c>
      <c r="W41" s="89"/>
      <c r="X41" s="92"/>
      <c r="Y41" s="92"/>
      <c r="Z41" s="89"/>
      <c r="AA41" s="92"/>
      <c r="AB41" s="89"/>
      <c r="AC41" s="104"/>
      <c r="AD41" s="104"/>
      <c r="AE41" s="92"/>
      <c r="AF41" s="92"/>
      <c r="AG41" s="99"/>
      <c r="AH41" s="99"/>
    </row>
    <row r="42" ht="26.25" customHeight="1">
      <c r="B42" s="95"/>
      <c r="C42" s="95"/>
      <c r="D42" s="77"/>
      <c r="E42" s="101"/>
      <c r="F42" s="89" t="str">
        <f t="shared" si="4"/>
        <v/>
      </c>
      <c r="G42" s="92"/>
      <c r="H42" s="103"/>
      <c r="I42" s="92"/>
      <c r="J42" s="93" t="b">
        <v>0</v>
      </c>
      <c r="K42" s="89"/>
      <c r="L42" s="89"/>
      <c r="M42" s="96"/>
      <c r="N42" s="96"/>
      <c r="O42" s="96"/>
      <c r="P42" s="96"/>
      <c r="Q42" s="95"/>
      <c r="R42" s="95"/>
      <c r="S42" s="95"/>
      <c r="T42" s="95"/>
      <c r="U42" s="95"/>
      <c r="V42" s="89" t="str">
        <f t="shared" si="5"/>
        <v/>
      </c>
      <c r="W42" s="89"/>
      <c r="X42" s="92"/>
      <c r="Y42" s="92"/>
      <c r="Z42" s="89"/>
      <c r="AA42" s="92"/>
      <c r="AB42" s="89"/>
      <c r="AC42" s="104"/>
      <c r="AD42" s="104"/>
      <c r="AE42" s="92"/>
      <c r="AF42" s="92"/>
      <c r="AG42" s="99"/>
      <c r="AH42" s="99"/>
    </row>
    <row r="43" ht="26.25" customHeight="1">
      <c r="B43" s="95"/>
      <c r="C43" s="95"/>
      <c r="D43" s="77"/>
      <c r="E43" s="101"/>
      <c r="F43" s="89" t="str">
        <f t="shared" si="4"/>
        <v/>
      </c>
      <c r="G43" s="92"/>
      <c r="H43" s="103"/>
      <c r="I43" s="92"/>
      <c r="J43" s="93" t="b">
        <v>0</v>
      </c>
      <c r="K43" s="89"/>
      <c r="L43" s="89"/>
      <c r="M43" s="96"/>
      <c r="N43" s="96"/>
      <c r="O43" s="96"/>
      <c r="P43" s="96"/>
      <c r="Q43" s="95"/>
      <c r="R43" s="95"/>
      <c r="S43" s="95"/>
      <c r="T43" s="95"/>
      <c r="U43" s="95"/>
      <c r="V43" s="89" t="str">
        <f t="shared" si="5"/>
        <v/>
      </c>
      <c r="W43" s="89"/>
      <c r="X43" s="92"/>
      <c r="Y43" s="92"/>
      <c r="Z43" s="89"/>
      <c r="AA43" s="92"/>
      <c r="AB43" s="89"/>
      <c r="AC43" s="104"/>
      <c r="AD43" s="104"/>
      <c r="AE43" s="92"/>
      <c r="AF43" s="92"/>
      <c r="AG43" s="99"/>
      <c r="AH43" s="99"/>
    </row>
    <row r="44" ht="26.25" customHeight="1">
      <c r="B44" s="95"/>
      <c r="C44" s="95"/>
      <c r="D44" s="77"/>
      <c r="E44" s="101"/>
      <c r="F44" s="89" t="str">
        <f t="shared" si="4"/>
        <v/>
      </c>
      <c r="G44" s="92"/>
      <c r="H44" s="103"/>
      <c r="I44" s="92"/>
      <c r="J44" s="93" t="b">
        <v>0</v>
      </c>
      <c r="K44" s="89"/>
      <c r="L44" s="89"/>
      <c r="M44" s="96"/>
      <c r="N44" s="96"/>
      <c r="O44" s="96"/>
      <c r="P44" s="96"/>
      <c r="Q44" s="95"/>
      <c r="R44" s="95"/>
      <c r="S44" s="95"/>
      <c r="T44" s="95"/>
      <c r="U44" s="95"/>
      <c r="V44" s="89" t="str">
        <f t="shared" si="5"/>
        <v/>
      </c>
      <c r="W44" s="89"/>
      <c r="X44" s="92"/>
      <c r="Y44" s="92"/>
      <c r="Z44" s="89"/>
      <c r="AA44" s="92"/>
      <c r="AB44" s="89"/>
      <c r="AC44" s="104"/>
      <c r="AD44" s="104"/>
      <c r="AE44" s="92"/>
      <c r="AF44" s="92"/>
      <c r="AG44" s="99"/>
      <c r="AH44" s="99"/>
    </row>
    <row r="45" ht="26.25" customHeight="1">
      <c r="B45" s="95"/>
      <c r="C45" s="95"/>
      <c r="D45" s="77"/>
      <c r="E45" s="101"/>
      <c r="F45" s="89" t="str">
        <f t="shared" si="4"/>
        <v/>
      </c>
      <c r="G45" s="92"/>
      <c r="H45" s="103"/>
      <c r="I45" s="92"/>
      <c r="J45" s="93" t="b">
        <v>0</v>
      </c>
      <c r="K45" s="89"/>
      <c r="L45" s="89"/>
      <c r="M45" s="96"/>
      <c r="N45" s="96"/>
      <c r="O45" s="96"/>
      <c r="P45" s="96"/>
      <c r="Q45" s="95"/>
      <c r="R45" s="95"/>
      <c r="S45" s="95"/>
      <c r="T45" s="95"/>
      <c r="U45" s="95"/>
      <c r="V45" s="89" t="str">
        <f t="shared" si="5"/>
        <v/>
      </c>
      <c r="W45" s="89"/>
      <c r="X45" s="92"/>
      <c r="Y45" s="92"/>
      <c r="Z45" s="89"/>
      <c r="AA45" s="92"/>
      <c r="AB45" s="89"/>
      <c r="AC45" s="104"/>
      <c r="AD45" s="104"/>
      <c r="AE45" s="92"/>
      <c r="AF45" s="92"/>
      <c r="AG45" s="99"/>
      <c r="AH45" s="99"/>
    </row>
    <row r="46" ht="26.25" customHeight="1">
      <c r="B46" s="95"/>
      <c r="C46" s="95"/>
      <c r="D46" s="77"/>
      <c r="E46" s="101"/>
      <c r="F46" s="89" t="str">
        <f t="shared" si="4"/>
        <v/>
      </c>
      <c r="G46" s="92"/>
      <c r="H46" s="103"/>
      <c r="I46" s="92"/>
      <c r="J46" s="93" t="b">
        <v>0</v>
      </c>
      <c r="K46" s="89"/>
      <c r="L46" s="89"/>
      <c r="M46" s="96"/>
      <c r="N46" s="96"/>
      <c r="O46" s="96"/>
      <c r="P46" s="96"/>
      <c r="Q46" s="95"/>
      <c r="R46" s="95"/>
      <c r="S46" s="95"/>
      <c r="T46" s="95"/>
      <c r="U46" s="95"/>
      <c r="V46" s="89" t="str">
        <f t="shared" si="5"/>
        <v/>
      </c>
      <c r="W46" s="89"/>
      <c r="X46" s="92"/>
      <c r="Y46" s="92"/>
      <c r="Z46" s="89"/>
      <c r="AA46" s="92"/>
      <c r="AB46" s="89"/>
      <c r="AC46" s="104"/>
      <c r="AD46" s="104"/>
      <c r="AE46" s="92"/>
      <c r="AF46" s="92"/>
      <c r="AG46" s="99"/>
      <c r="AH46" s="99"/>
    </row>
    <row r="47" ht="26.25" customHeight="1">
      <c r="B47" s="95"/>
      <c r="C47" s="95"/>
      <c r="D47" s="77"/>
      <c r="E47" s="101"/>
      <c r="F47" s="89" t="str">
        <f t="shared" si="4"/>
        <v/>
      </c>
      <c r="G47" s="92"/>
      <c r="H47" s="103"/>
      <c r="I47" s="92"/>
      <c r="J47" s="93" t="b">
        <v>0</v>
      </c>
      <c r="K47" s="89"/>
      <c r="L47" s="89"/>
      <c r="M47" s="96"/>
      <c r="N47" s="96"/>
      <c r="O47" s="96"/>
      <c r="P47" s="96"/>
      <c r="Q47" s="95"/>
      <c r="R47" s="95"/>
      <c r="S47" s="95"/>
      <c r="T47" s="95"/>
      <c r="U47" s="95"/>
      <c r="V47" s="89" t="str">
        <f t="shared" si="5"/>
        <v/>
      </c>
      <c r="W47" s="89"/>
      <c r="X47" s="92"/>
      <c r="Y47" s="92"/>
      <c r="Z47" s="89"/>
      <c r="AA47" s="92"/>
      <c r="AB47" s="89"/>
      <c r="AC47" s="104"/>
      <c r="AD47" s="104"/>
      <c r="AE47" s="92"/>
      <c r="AF47" s="92"/>
      <c r="AG47" s="99"/>
      <c r="AH47" s="99"/>
    </row>
    <row r="48" ht="26.25" customHeight="1">
      <c r="B48" s="95"/>
      <c r="C48" s="95"/>
      <c r="D48" s="77"/>
      <c r="E48" s="101"/>
      <c r="F48" s="89" t="str">
        <f t="shared" si="4"/>
        <v/>
      </c>
      <c r="G48" s="92"/>
      <c r="H48" s="103"/>
      <c r="I48" s="92"/>
      <c r="J48" s="93" t="b">
        <v>0</v>
      </c>
      <c r="K48" s="89"/>
      <c r="L48" s="89"/>
      <c r="M48" s="96"/>
      <c r="N48" s="96"/>
      <c r="O48" s="96"/>
      <c r="P48" s="96"/>
      <c r="Q48" s="95"/>
      <c r="R48" s="95"/>
      <c r="S48" s="95"/>
      <c r="T48" s="95"/>
      <c r="U48" s="95"/>
      <c r="V48" s="89" t="str">
        <f t="shared" si="5"/>
        <v/>
      </c>
      <c r="W48" s="89"/>
      <c r="X48" s="92"/>
      <c r="Y48" s="92"/>
      <c r="Z48" s="89"/>
      <c r="AA48" s="92"/>
      <c r="AB48" s="89"/>
      <c r="AC48" s="104"/>
      <c r="AD48" s="104"/>
      <c r="AE48" s="92"/>
      <c r="AF48" s="92"/>
      <c r="AG48" s="99"/>
      <c r="AH48" s="99"/>
    </row>
    <row r="49" ht="26.25" customHeight="1">
      <c r="B49" s="95"/>
      <c r="C49" s="95"/>
      <c r="D49" s="77"/>
      <c r="E49" s="101"/>
      <c r="F49" s="89" t="str">
        <f t="shared" si="4"/>
        <v/>
      </c>
      <c r="G49" s="92"/>
      <c r="H49" s="103"/>
      <c r="I49" s="92"/>
      <c r="J49" s="93" t="b">
        <v>0</v>
      </c>
      <c r="K49" s="89"/>
      <c r="L49" s="89"/>
      <c r="M49" s="96"/>
      <c r="N49" s="96"/>
      <c r="O49" s="96"/>
      <c r="P49" s="96"/>
      <c r="Q49" s="95"/>
      <c r="R49" s="95"/>
      <c r="S49" s="95"/>
      <c r="T49" s="95"/>
      <c r="U49" s="95"/>
      <c r="V49" s="89" t="str">
        <f t="shared" si="5"/>
        <v/>
      </c>
      <c r="W49" s="89"/>
      <c r="X49" s="92"/>
      <c r="Y49" s="92"/>
      <c r="Z49" s="89"/>
      <c r="AA49" s="92"/>
      <c r="AB49" s="89"/>
      <c r="AC49" s="104"/>
      <c r="AD49" s="104"/>
      <c r="AE49" s="92"/>
      <c r="AF49" s="92"/>
      <c r="AG49" s="99"/>
      <c r="AH49" s="99"/>
    </row>
    <row r="50" ht="26.25" customHeight="1">
      <c r="B50" s="95"/>
      <c r="C50" s="95"/>
      <c r="D50" s="77"/>
      <c r="E50" s="101"/>
      <c r="F50" s="89" t="str">
        <f t="shared" si="4"/>
        <v/>
      </c>
      <c r="G50" s="92"/>
      <c r="H50" s="103"/>
      <c r="I50" s="92"/>
      <c r="J50" s="93" t="b">
        <v>0</v>
      </c>
      <c r="K50" s="89"/>
      <c r="L50" s="89"/>
      <c r="M50" s="96"/>
      <c r="N50" s="96"/>
      <c r="O50" s="96"/>
      <c r="P50" s="96"/>
      <c r="Q50" s="95"/>
      <c r="R50" s="95"/>
      <c r="S50" s="95"/>
      <c r="T50" s="95"/>
      <c r="U50" s="95"/>
      <c r="V50" s="89" t="str">
        <f t="shared" si="5"/>
        <v/>
      </c>
      <c r="W50" s="89"/>
      <c r="X50" s="92"/>
      <c r="Y50" s="92"/>
      <c r="Z50" s="89"/>
      <c r="AA50" s="92"/>
      <c r="AB50" s="89"/>
      <c r="AC50" s="104"/>
      <c r="AD50" s="104"/>
      <c r="AE50" s="92"/>
      <c r="AF50" s="92"/>
      <c r="AG50" s="99"/>
      <c r="AH50" s="99"/>
    </row>
    <row r="51" ht="26.25" customHeight="1">
      <c r="B51" s="95"/>
      <c r="C51" s="95"/>
      <c r="D51" s="77"/>
      <c r="E51" s="101"/>
      <c r="F51" s="89" t="str">
        <f t="shared" si="4"/>
        <v/>
      </c>
      <c r="G51" s="92"/>
      <c r="H51" s="103"/>
      <c r="I51" s="92"/>
      <c r="J51" s="93" t="b">
        <v>0</v>
      </c>
      <c r="K51" s="89"/>
      <c r="L51" s="89"/>
      <c r="M51" s="96"/>
      <c r="N51" s="96"/>
      <c r="O51" s="96"/>
      <c r="P51" s="96"/>
      <c r="Q51" s="95"/>
      <c r="R51" s="95"/>
      <c r="S51" s="95"/>
      <c r="T51" s="95"/>
      <c r="U51" s="95"/>
      <c r="V51" s="89" t="str">
        <f t="shared" si="5"/>
        <v/>
      </c>
      <c r="W51" s="89"/>
      <c r="X51" s="92"/>
      <c r="Y51" s="92"/>
      <c r="Z51" s="89"/>
      <c r="AA51" s="92"/>
      <c r="AB51" s="89"/>
      <c r="AC51" s="104"/>
      <c r="AD51" s="104"/>
      <c r="AE51" s="92"/>
      <c r="AF51" s="92"/>
      <c r="AG51" s="99"/>
      <c r="AH51" s="99"/>
    </row>
    <row r="52" ht="26.25" customHeight="1">
      <c r="B52" s="95"/>
      <c r="C52" s="95"/>
      <c r="D52" s="77"/>
      <c r="E52" s="101"/>
      <c r="F52" s="89" t="str">
        <f t="shared" si="4"/>
        <v/>
      </c>
      <c r="G52" s="92"/>
      <c r="H52" s="103"/>
      <c r="I52" s="92"/>
      <c r="J52" s="93" t="b">
        <v>0</v>
      </c>
      <c r="K52" s="89"/>
      <c r="L52" s="89"/>
      <c r="M52" s="96"/>
      <c r="N52" s="96"/>
      <c r="O52" s="96"/>
      <c r="P52" s="96"/>
      <c r="Q52" s="95"/>
      <c r="R52" s="95"/>
      <c r="S52" s="95"/>
      <c r="T52" s="95"/>
      <c r="U52" s="95"/>
      <c r="V52" s="89" t="str">
        <f t="shared" si="5"/>
        <v/>
      </c>
      <c r="W52" s="89"/>
      <c r="X52" s="92"/>
      <c r="Y52" s="92"/>
      <c r="Z52" s="89"/>
      <c r="AA52" s="92"/>
      <c r="AB52" s="89"/>
      <c r="AC52" s="104"/>
      <c r="AD52" s="104"/>
      <c r="AE52" s="92"/>
      <c r="AF52" s="92"/>
      <c r="AG52" s="99"/>
      <c r="AH52" s="99"/>
    </row>
    <row r="53" ht="26.25" customHeight="1">
      <c r="B53" s="95"/>
      <c r="C53" s="95"/>
      <c r="D53" s="77"/>
      <c r="E53" s="101"/>
      <c r="F53" s="89" t="str">
        <f t="shared" si="4"/>
        <v/>
      </c>
      <c r="G53" s="92"/>
      <c r="H53" s="103"/>
      <c r="I53" s="92"/>
      <c r="J53" s="93" t="b">
        <v>0</v>
      </c>
      <c r="K53" s="89"/>
      <c r="L53" s="89"/>
      <c r="M53" s="96"/>
      <c r="N53" s="96"/>
      <c r="O53" s="96"/>
      <c r="P53" s="96"/>
      <c r="Q53" s="95"/>
      <c r="R53" s="95"/>
      <c r="S53" s="95"/>
      <c r="T53" s="95"/>
      <c r="U53" s="95"/>
      <c r="V53" s="89" t="str">
        <f t="shared" si="5"/>
        <v/>
      </c>
      <c r="W53" s="89"/>
      <c r="X53" s="92"/>
      <c r="Y53" s="92"/>
      <c r="Z53" s="89"/>
      <c r="AA53" s="92"/>
      <c r="AB53" s="89"/>
      <c r="AC53" s="104"/>
      <c r="AD53" s="104"/>
      <c r="AE53" s="92"/>
      <c r="AF53" s="92"/>
      <c r="AG53" s="99"/>
      <c r="AH53" s="99"/>
    </row>
    <row r="54" ht="26.25" customHeight="1">
      <c r="B54" s="95"/>
      <c r="C54" s="95"/>
      <c r="D54" s="77"/>
      <c r="E54" s="101"/>
      <c r="F54" s="89" t="str">
        <f t="shared" si="4"/>
        <v/>
      </c>
      <c r="G54" s="92"/>
      <c r="H54" s="103"/>
      <c r="I54" s="92"/>
      <c r="J54" s="93" t="b">
        <v>0</v>
      </c>
      <c r="K54" s="89"/>
      <c r="L54" s="89"/>
      <c r="M54" s="96"/>
      <c r="N54" s="96"/>
      <c r="O54" s="96"/>
      <c r="P54" s="96"/>
      <c r="Q54" s="95"/>
      <c r="R54" s="95"/>
      <c r="S54" s="95"/>
      <c r="T54" s="95"/>
      <c r="U54" s="95"/>
      <c r="V54" s="89" t="str">
        <f t="shared" si="5"/>
        <v/>
      </c>
      <c r="W54" s="89"/>
      <c r="X54" s="92"/>
      <c r="Y54" s="92"/>
      <c r="Z54" s="89"/>
      <c r="AA54" s="92"/>
      <c r="AB54" s="89"/>
      <c r="AC54" s="104"/>
      <c r="AD54" s="104"/>
      <c r="AE54" s="92"/>
      <c r="AF54" s="92"/>
      <c r="AG54" s="99"/>
      <c r="AH54" s="99"/>
    </row>
    <row r="55" ht="26.25" customHeight="1">
      <c r="B55" s="95"/>
      <c r="C55" s="95"/>
      <c r="D55" s="77"/>
      <c r="E55" s="101"/>
      <c r="F55" s="89" t="str">
        <f t="shared" si="4"/>
        <v/>
      </c>
      <c r="G55" s="92"/>
      <c r="H55" s="103"/>
      <c r="I55" s="92"/>
      <c r="J55" s="93" t="b">
        <v>0</v>
      </c>
      <c r="K55" s="89"/>
      <c r="L55" s="89"/>
      <c r="M55" s="96"/>
      <c r="N55" s="96"/>
      <c r="O55" s="96"/>
      <c r="P55" s="96"/>
      <c r="Q55" s="95"/>
      <c r="R55" s="95"/>
      <c r="S55" s="95"/>
      <c r="T55" s="95"/>
      <c r="U55" s="95"/>
      <c r="V55" s="89" t="str">
        <f t="shared" si="5"/>
        <v/>
      </c>
      <c r="W55" s="89"/>
      <c r="X55" s="92"/>
      <c r="Y55" s="92"/>
      <c r="Z55" s="89"/>
      <c r="AA55" s="92"/>
      <c r="AB55" s="89"/>
      <c r="AC55" s="104"/>
      <c r="AD55" s="104"/>
      <c r="AE55" s="92"/>
      <c r="AF55" s="92"/>
      <c r="AG55" s="99"/>
      <c r="AH55" s="99"/>
    </row>
    <row r="56" ht="26.25" customHeight="1">
      <c r="B56" s="95"/>
      <c r="C56" s="95"/>
      <c r="D56" s="77"/>
      <c r="E56" s="101"/>
      <c r="F56" s="89" t="str">
        <f t="shared" si="4"/>
        <v/>
      </c>
      <c r="G56" s="92"/>
      <c r="H56" s="103"/>
      <c r="I56" s="92"/>
      <c r="J56" s="93" t="b">
        <v>0</v>
      </c>
      <c r="K56" s="89"/>
      <c r="L56" s="89"/>
      <c r="M56" s="96"/>
      <c r="N56" s="96"/>
      <c r="O56" s="96"/>
      <c r="P56" s="96"/>
      <c r="Q56" s="95"/>
      <c r="R56" s="95"/>
      <c r="S56" s="95"/>
      <c r="T56" s="95"/>
      <c r="U56" s="95"/>
      <c r="V56" s="89" t="str">
        <f t="shared" si="5"/>
        <v/>
      </c>
      <c r="W56" s="89"/>
      <c r="X56" s="92"/>
      <c r="Y56" s="92"/>
      <c r="Z56" s="89"/>
      <c r="AA56" s="92"/>
      <c r="AB56" s="89"/>
      <c r="AC56" s="104"/>
      <c r="AD56" s="104"/>
      <c r="AE56" s="92"/>
      <c r="AF56" s="92"/>
      <c r="AG56" s="99"/>
      <c r="AH56" s="99"/>
    </row>
    <row r="57" ht="26.25" customHeight="1">
      <c r="B57" s="95"/>
      <c r="C57" s="95"/>
      <c r="D57" s="77"/>
      <c r="E57" s="101"/>
      <c r="F57" s="89" t="str">
        <f t="shared" si="4"/>
        <v/>
      </c>
      <c r="G57" s="92"/>
      <c r="H57" s="103"/>
      <c r="I57" s="92"/>
      <c r="J57" s="93" t="b">
        <v>0</v>
      </c>
      <c r="K57" s="89"/>
      <c r="L57" s="89"/>
      <c r="M57" s="96"/>
      <c r="N57" s="96"/>
      <c r="O57" s="96"/>
      <c r="P57" s="96"/>
      <c r="Q57" s="95"/>
      <c r="R57" s="95"/>
      <c r="S57" s="95"/>
      <c r="T57" s="95"/>
      <c r="U57" s="95"/>
      <c r="V57" s="89" t="str">
        <f t="shared" si="5"/>
        <v/>
      </c>
      <c r="W57" s="89"/>
      <c r="X57" s="92"/>
      <c r="Y57" s="92"/>
      <c r="Z57" s="89"/>
      <c r="AA57" s="92"/>
      <c r="AB57" s="89"/>
      <c r="AC57" s="104"/>
      <c r="AD57" s="104"/>
      <c r="AE57" s="92"/>
      <c r="AF57" s="92"/>
      <c r="AG57" s="99"/>
      <c r="AH57" s="99"/>
    </row>
    <row r="58" ht="26.25" customHeight="1">
      <c r="B58" s="95"/>
      <c r="C58" s="95"/>
      <c r="D58" s="77"/>
      <c r="E58" s="101"/>
      <c r="F58" s="89" t="str">
        <f t="shared" si="4"/>
        <v/>
      </c>
      <c r="G58" s="92"/>
      <c r="H58" s="103"/>
      <c r="I58" s="92"/>
      <c r="J58" s="93" t="b">
        <v>0</v>
      </c>
      <c r="K58" s="89"/>
      <c r="L58" s="89"/>
      <c r="M58" s="96"/>
      <c r="N58" s="96"/>
      <c r="O58" s="96"/>
      <c r="P58" s="96"/>
      <c r="Q58" s="95"/>
      <c r="R58" s="95"/>
      <c r="S58" s="95"/>
      <c r="T58" s="95"/>
      <c r="U58" s="95"/>
      <c r="V58" s="89" t="str">
        <f t="shared" si="5"/>
        <v/>
      </c>
      <c r="W58" s="89"/>
      <c r="X58" s="92"/>
      <c r="Y58" s="92"/>
      <c r="Z58" s="89"/>
      <c r="AA58" s="92"/>
      <c r="AB58" s="89"/>
      <c r="AC58" s="104"/>
      <c r="AD58" s="104"/>
      <c r="AE58" s="92"/>
      <c r="AF58" s="92"/>
      <c r="AG58" s="99"/>
      <c r="AH58" s="99"/>
    </row>
    <row r="59" ht="26.25" customHeight="1">
      <c r="B59" s="95"/>
      <c r="C59" s="95"/>
      <c r="D59" s="77"/>
      <c r="E59" s="101"/>
      <c r="F59" s="89" t="str">
        <f t="shared" si="4"/>
        <v/>
      </c>
      <c r="G59" s="92"/>
      <c r="H59" s="103"/>
      <c r="I59" s="92"/>
      <c r="J59" s="93" t="b">
        <v>0</v>
      </c>
      <c r="K59" s="89"/>
      <c r="L59" s="89"/>
      <c r="M59" s="96"/>
      <c r="N59" s="96"/>
      <c r="O59" s="96"/>
      <c r="P59" s="96"/>
      <c r="Q59" s="95"/>
      <c r="R59" s="95"/>
      <c r="S59" s="95"/>
      <c r="T59" s="95"/>
      <c r="U59" s="95"/>
      <c r="V59" s="89" t="str">
        <f t="shared" si="5"/>
        <v/>
      </c>
      <c r="W59" s="89"/>
      <c r="X59" s="92"/>
      <c r="Y59" s="92"/>
      <c r="Z59" s="89"/>
      <c r="AA59" s="92"/>
      <c r="AB59" s="89"/>
      <c r="AC59" s="104"/>
      <c r="AD59" s="104"/>
      <c r="AE59" s="92"/>
      <c r="AF59" s="92"/>
      <c r="AG59" s="99"/>
      <c r="AH59" s="99"/>
    </row>
    <row r="60" ht="26.25" customHeight="1">
      <c r="B60" s="95"/>
      <c r="C60" s="95"/>
      <c r="D60" s="77"/>
      <c r="E60" s="101"/>
      <c r="F60" s="89" t="str">
        <f t="shared" si="4"/>
        <v/>
      </c>
      <c r="G60" s="92"/>
      <c r="H60" s="103"/>
      <c r="I60" s="92"/>
      <c r="J60" s="93" t="b">
        <v>0</v>
      </c>
      <c r="K60" s="89"/>
      <c r="L60" s="89"/>
      <c r="M60" s="96"/>
      <c r="N60" s="96"/>
      <c r="O60" s="96"/>
      <c r="P60" s="96"/>
      <c r="Q60" s="95"/>
      <c r="R60" s="95"/>
      <c r="S60" s="95"/>
      <c r="T60" s="95"/>
      <c r="U60" s="95"/>
      <c r="V60" s="89" t="str">
        <f t="shared" si="5"/>
        <v/>
      </c>
      <c r="W60" s="89"/>
      <c r="X60" s="92"/>
      <c r="Y60" s="92"/>
      <c r="Z60" s="89"/>
      <c r="AA60" s="92"/>
      <c r="AB60" s="89"/>
      <c r="AC60" s="104"/>
      <c r="AD60" s="104"/>
      <c r="AE60" s="92"/>
      <c r="AF60" s="92"/>
      <c r="AG60" s="99"/>
      <c r="AH60" s="99"/>
    </row>
    <row r="61" ht="26.25" customHeight="1">
      <c r="B61" s="95"/>
      <c r="C61" s="95"/>
      <c r="D61" s="77"/>
      <c r="E61" s="101"/>
      <c r="F61" s="89" t="str">
        <f t="shared" si="4"/>
        <v/>
      </c>
      <c r="G61" s="92"/>
      <c r="H61" s="103"/>
      <c r="I61" s="92"/>
      <c r="J61" s="93" t="b">
        <v>0</v>
      </c>
      <c r="K61" s="89"/>
      <c r="L61" s="89"/>
      <c r="M61" s="96"/>
      <c r="N61" s="96"/>
      <c r="O61" s="96"/>
      <c r="P61" s="96"/>
      <c r="Q61" s="95"/>
      <c r="R61" s="95"/>
      <c r="S61" s="95"/>
      <c r="T61" s="95"/>
      <c r="U61" s="95"/>
      <c r="V61" s="89" t="str">
        <f t="shared" si="5"/>
        <v/>
      </c>
      <c r="W61" s="89"/>
      <c r="X61" s="92"/>
      <c r="Y61" s="92"/>
      <c r="Z61" s="89"/>
      <c r="AA61" s="92"/>
      <c r="AB61" s="89"/>
      <c r="AC61" s="104"/>
      <c r="AD61" s="104"/>
      <c r="AE61" s="92"/>
      <c r="AF61" s="92"/>
      <c r="AG61" s="99"/>
      <c r="AH61" s="99"/>
    </row>
    <row r="62" ht="26.25" customHeight="1">
      <c r="B62" s="95"/>
      <c r="C62" s="95"/>
      <c r="D62" s="77"/>
      <c r="E62" s="101"/>
      <c r="F62" s="89" t="str">
        <f t="shared" si="4"/>
        <v/>
      </c>
      <c r="G62" s="92"/>
      <c r="H62" s="103"/>
      <c r="I62" s="92"/>
      <c r="J62" s="93" t="b">
        <v>0</v>
      </c>
      <c r="K62" s="89"/>
      <c r="L62" s="89"/>
      <c r="M62" s="96"/>
      <c r="N62" s="96"/>
      <c r="O62" s="96"/>
      <c r="P62" s="96"/>
      <c r="Q62" s="95"/>
      <c r="R62" s="95"/>
      <c r="S62" s="95"/>
      <c r="T62" s="95"/>
      <c r="U62" s="95"/>
      <c r="V62" s="89" t="str">
        <f t="shared" si="5"/>
        <v/>
      </c>
      <c r="W62" s="89"/>
      <c r="X62" s="92"/>
      <c r="Y62" s="92"/>
      <c r="Z62" s="89"/>
      <c r="AA62" s="92"/>
      <c r="AB62" s="89"/>
      <c r="AC62" s="104"/>
      <c r="AD62" s="104"/>
      <c r="AE62" s="92"/>
      <c r="AF62" s="92"/>
      <c r="AG62" s="99"/>
      <c r="AH62" s="99"/>
    </row>
    <row r="63" ht="26.25" customHeight="1">
      <c r="B63" s="95"/>
      <c r="C63" s="95"/>
      <c r="D63" s="77"/>
      <c r="E63" s="101"/>
      <c r="F63" s="89" t="str">
        <f t="shared" si="4"/>
        <v/>
      </c>
      <c r="G63" s="92"/>
      <c r="H63" s="103"/>
      <c r="I63" s="92"/>
      <c r="J63" s="93" t="b">
        <v>0</v>
      </c>
      <c r="K63" s="89"/>
      <c r="L63" s="89"/>
      <c r="M63" s="96"/>
      <c r="N63" s="96"/>
      <c r="O63" s="96"/>
      <c r="P63" s="96"/>
      <c r="Q63" s="95"/>
      <c r="R63" s="95"/>
      <c r="S63" s="95"/>
      <c r="T63" s="95"/>
      <c r="U63" s="95"/>
      <c r="V63" s="89" t="str">
        <f t="shared" si="5"/>
        <v/>
      </c>
      <c r="W63" s="89"/>
      <c r="X63" s="92"/>
      <c r="Y63" s="92"/>
      <c r="Z63" s="89"/>
      <c r="AA63" s="92"/>
      <c r="AB63" s="89"/>
      <c r="AC63" s="104"/>
      <c r="AD63" s="104"/>
      <c r="AE63" s="92"/>
      <c r="AF63" s="92"/>
      <c r="AG63" s="99"/>
      <c r="AH63" s="99"/>
    </row>
    <row r="64" ht="26.25" customHeight="1">
      <c r="B64" s="95"/>
      <c r="C64" s="95"/>
      <c r="D64" s="77"/>
      <c r="E64" s="101"/>
      <c r="F64" s="89" t="str">
        <f t="shared" si="4"/>
        <v/>
      </c>
      <c r="G64" s="92"/>
      <c r="H64" s="103"/>
      <c r="I64" s="92"/>
      <c r="J64" s="93" t="b">
        <v>0</v>
      </c>
      <c r="K64" s="89"/>
      <c r="L64" s="89"/>
      <c r="M64" s="96"/>
      <c r="N64" s="96"/>
      <c r="O64" s="96"/>
      <c r="P64" s="96"/>
      <c r="Q64" s="95"/>
      <c r="R64" s="95"/>
      <c r="S64" s="95"/>
      <c r="T64" s="95"/>
      <c r="U64" s="95"/>
      <c r="V64" s="89" t="str">
        <f t="shared" si="5"/>
        <v/>
      </c>
      <c r="W64" s="89"/>
      <c r="X64" s="92"/>
      <c r="Y64" s="92"/>
      <c r="Z64" s="89"/>
      <c r="AA64" s="92"/>
      <c r="AB64" s="89"/>
      <c r="AC64" s="104"/>
      <c r="AD64" s="104"/>
      <c r="AE64" s="92"/>
      <c r="AF64" s="92"/>
      <c r="AG64" s="99"/>
      <c r="AH64" s="99"/>
    </row>
    <row r="65" ht="26.25" customHeight="1">
      <c r="B65" s="95"/>
      <c r="C65" s="95"/>
      <c r="D65" s="77"/>
      <c r="E65" s="101"/>
      <c r="F65" s="89" t="str">
        <f t="shared" si="4"/>
        <v/>
      </c>
      <c r="G65" s="92"/>
      <c r="H65" s="103"/>
      <c r="I65" s="92"/>
      <c r="J65" s="93" t="b">
        <v>0</v>
      </c>
      <c r="K65" s="89"/>
      <c r="L65" s="89"/>
      <c r="M65" s="96"/>
      <c r="N65" s="96"/>
      <c r="O65" s="96"/>
      <c r="P65" s="96"/>
      <c r="Q65" s="95"/>
      <c r="R65" s="95"/>
      <c r="S65" s="95"/>
      <c r="T65" s="95"/>
      <c r="U65" s="95"/>
      <c r="V65" s="89" t="str">
        <f t="shared" si="5"/>
        <v/>
      </c>
      <c r="W65" s="89"/>
      <c r="X65" s="92"/>
      <c r="Y65" s="92"/>
      <c r="Z65" s="89"/>
      <c r="AA65" s="92"/>
      <c r="AB65" s="89"/>
      <c r="AC65" s="104"/>
      <c r="AD65" s="104"/>
      <c r="AE65" s="92"/>
      <c r="AF65" s="92"/>
      <c r="AG65" s="99"/>
      <c r="AH65" s="99"/>
    </row>
    <row r="66" ht="26.25" customHeight="1">
      <c r="B66" s="95"/>
      <c r="C66" s="95"/>
      <c r="D66" s="77"/>
      <c r="E66" s="101"/>
      <c r="F66" s="89" t="str">
        <f t="shared" si="4"/>
        <v/>
      </c>
      <c r="G66" s="92"/>
      <c r="H66" s="103"/>
      <c r="I66" s="92"/>
      <c r="J66" s="93" t="b">
        <v>0</v>
      </c>
      <c r="K66" s="89"/>
      <c r="L66" s="89"/>
      <c r="M66" s="96"/>
      <c r="N66" s="96"/>
      <c r="O66" s="96"/>
      <c r="P66" s="96"/>
      <c r="Q66" s="95"/>
      <c r="R66" s="95"/>
      <c r="S66" s="95"/>
      <c r="T66" s="95"/>
      <c r="U66" s="95"/>
      <c r="V66" s="89" t="str">
        <f t="shared" si="5"/>
        <v/>
      </c>
      <c r="W66" s="89"/>
      <c r="X66" s="92"/>
      <c r="Y66" s="92"/>
      <c r="Z66" s="89"/>
      <c r="AA66" s="92"/>
      <c r="AB66" s="89"/>
      <c r="AC66" s="104"/>
      <c r="AD66" s="104"/>
      <c r="AE66" s="92"/>
      <c r="AF66" s="92"/>
      <c r="AG66" s="99"/>
      <c r="AH66" s="99"/>
    </row>
    <row r="67" ht="26.25" customHeight="1">
      <c r="B67" s="95"/>
      <c r="C67" s="95"/>
      <c r="D67" s="77"/>
      <c r="E67" s="101"/>
      <c r="F67" s="89" t="str">
        <f t="shared" si="4"/>
        <v/>
      </c>
      <c r="G67" s="92"/>
      <c r="H67" s="103"/>
      <c r="I67" s="92"/>
      <c r="J67" s="93" t="b">
        <v>0</v>
      </c>
      <c r="K67" s="89"/>
      <c r="L67" s="89"/>
      <c r="M67" s="96"/>
      <c r="N67" s="96"/>
      <c r="O67" s="96"/>
      <c r="P67" s="96"/>
      <c r="Q67" s="95"/>
      <c r="R67" s="95"/>
      <c r="S67" s="95"/>
      <c r="T67" s="95"/>
      <c r="U67" s="95"/>
      <c r="V67" s="89" t="str">
        <f t="shared" si="5"/>
        <v/>
      </c>
      <c r="W67" s="89"/>
      <c r="X67" s="92"/>
      <c r="Y67" s="92"/>
      <c r="Z67" s="89"/>
      <c r="AA67" s="92"/>
      <c r="AB67" s="89"/>
      <c r="AC67" s="104"/>
      <c r="AD67" s="104"/>
      <c r="AE67" s="92"/>
      <c r="AF67" s="92"/>
      <c r="AG67" s="99"/>
      <c r="AH67" s="99"/>
    </row>
    <row r="68" ht="26.25" customHeight="1">
      <c r="B68" s="95"/>
      <c r="C68" s="95"/>
      <c r="D68" s="77"/>
      <c r="E68" s="101"/>
      <c r="F68" s="89" t="str">
        <f t="shared" si="4"/>
        <v/>
      </c>
      <c r="G68" s="92"/>
      <c r="H68" s="103"/>
      <c r="I68" s="92"/>
      <c r="J68" s="93" t="b">
        <v>0</v>
      </c>
      <c r="K68" s="89"/>
      <c r="L68" s="89"/>
      <c r="M68" s="96"/>
      <c r="N68" s="96"/>
      <c r="O68" s="96"/>
      <c r="P68" s="96"/>
      <c r="Q68" s="95"/>
      <c r="R68" s="95"/>
      <c r="S68" s="95"/>
      <c r="T68" s="95"/>
      <c r="U68" s="95"/>
      <c r="V68" s="89" t="str">
        <f t="shared" si="5"/>
        <v/>
      </c>
      <c r="W68" s="89"/>
      <c r="X68" s="92"/>
      <c r="Y68" s="92"/>
      <c r="Z68" s="89"/>
      <c r="AA68" s="92"/>
      <c r="AB68" s="89"/>
      <c r="AC68" s="104"/>
      <c r="AD68" s="104"/>
      <c r="AE68" s="92"/>
      <c r="AF68" s="92"/>
      <c r="AG68" s="99"/>
      <c r="AH68" s="99"/>
    </row>
    <row r="69" ht="26.25" customHeight="1">
      <c r="B69" s="95"/>
      <c r="C69" s="95"/>
      <c r="D69" s="77"/>
      <c r="E69" s="101"/>
      <c r="F69" s="89" t="str">
        <f t="shared" si="4"/>
        <v/>
      </c>
      <c r="G69" s="92"/>
      <c r="H69" s="103"/>
      <c r="I69" s="92"/>
      <c r="J69" s="93" t="b">
        <v>0</v>
      </c>
      <c r="K69" s="89"/>
      <c r="L69" s="89"/>
      <c r="M69" s="96"/>
      <c r="N69" s="96"/>
      <c r="O69" s="96"/>
      <c r="P69" s="96"/>
      <c r="Q69" s="95"/>
      <c r="R69" s="95"/>
      <c r="S69" s="95"/>
      <c r="T69" s="95"/>
      <c r="U69" s="95"/>
      <c r="V69" s="89" t="str">
        <f t="shared" si="5"/>
        <v/>
      </c>
      <c r="W69" s="89"/>
      <c r="X69" s="92"/>
      <c r="Y69" s="92"/>
      <c r="Z69" s="89"/>
      <c r="AA69" s="92"/>
      <c r="AB69" s="89"/>
      <c r="AC69" s="104"/>
      <c r="AD69" s="104"/>
      <c r="AE69" s="92"/>
      <c r="AF69" s="92"/>
      <c r="AG69" s="99"/>
      <c r="AH69" s="99"/>
    </row>
    <row r="70" ht="26.25" customHeight="1">
      <c r="B70" s="95"/>
      <c r="C70" s="95"/>
      <c r="D70" s="77"/>
      <c r="E70" s="101"/>
      <c r="F70" s="89" t="str">
        <f t="shared" ref="F70:F198" si="6">IF(G70="","",ROW()-6)</f>
        <v/>
      </c>
      <c r="G70" s="92"/>
      <c r="H70" s="103"/>
      <c r="I70" s="92"/>
      <c r="J70" s="93" t="b">
        <v>0</v>
      </c>
      <c r="K70" s="89"/>
      <c r="L70" s="89"/>
      <c r="M70" s="96"/>
      <c r="N70" s="96"/>
      <c r="O70" s="96"/>
      <c r="P70" s="96"/>
      <c r="Q70" s="95"/>
      <c r="R70" s="95"/>
      <c r="S70" s="95"/>
      <c r="T70" s="95"/>
      <c r="U70" s="95"/>
      <c r="V70" s="89" t="str">
        <f t="shared" si="5"/>
        <v/>
      </c>
      <c r="W70" s="89"/>
      <c r="X70" s="92"/>
      <c r="Y70" s="92"/>
      <c r="Z70" s="89"/>
      <c r="AA70" s="92"/>
      <c r="AB70" s="89"/>
      <c r="AC70" s="104"/>
      <c r="AD70" s="104"/>
      <c r="AE70" s="92"/>
      <c r="AF70" s="92"/>
      <c r="AG70" s="99"/>
      <c r="AH70" s="99"/>
    </row>
    <row r="71" ht="26.25" customHeight="1">
      <c r="B71" s="95"/>
      <c r="C71" s="95"/>
      <c r="D71" s="77"/>
      <c r="E71" s="101"/>
      <c r="F71" s="89" t="str">
        <f t="shared" si="6"/>
        <v/>
      </c>
      <c r="G71" s="92"/>
      <c r="H71" s="103"/>
      <c r="I71" s="92"/>
      <c r="J71" s="93" t="b">
        <v>0</v>
      </c>
      <c r="K71" s="89"/>
      <c r="L71" s="89"/>
      <c r="M71" s="96"/>
      <c r="N71" s="96"/>
      <c r="O71" s="96"/>
      <c r="P71" s="96"/>
      <c r="Q71" s="95"/>
      <c r="R71" s="95"/>
      <c r="S71" s="95"/>
      <c r="T71" s="95"/>
      <c r="U71" s="95"/>
      <c r="V71" s="89" t="str">
        <f t="shared" si="5"/>
        <v/>
      </c>
      <c r="W71" s="89"/>
      <c r="X71" s="92"/>
      <c r="Y71" s="92"/>
      <c r="Z71" s="89"/>
      <c r="AA71" s="92"/>
      <c r="AB71" s="89"/>
      <c r="AC71" s="104"/>
      <c r="AD71" s="104"/>
      <c r="AE71" s="92"/>
      <c r="AF71" s="92"/>
      <c r="AG71" s="99"/>
      <c r="AH71" s="99"/>
    </row>
    <row r="72" ht="26.25" customHeight="1">
      <c r="B72" s="95"/>
      <c r="C72" s="95"/>
      <c r="D72" s="77"/>
      <c r="E72" s="101"/>
      <c r="F72" s="89" t="str">
        <f t="shared" si="6"/>
        <v/>
      </c>
      <c r="G72" s="92"/>
      <c r="H72" s="103"/>
      <c r="I72" s="92"/>
      <c r="J72" s="93" t="b">
        <v>0</v>
      </c>
      <c r="K72" s="89"/>
      <c r="L72" s="89"/>
      <c r="M72" s="96"/>
      <c r="N72" s="96"/>
      <c r="O72" s="96"/>
      <c r="P72" s="96"/>
      <c r="Q72" s="95"/>
      <c r="R72" s="95"/>
      <c r="S72" s="95"/>
      <c r="T72" s="95"/>
      <c r="U72" s="95"/>
      <c r="V72" s="89" t="str">
        <f t="shared" si="5"/>
        <v/>
      </c>
      <c r="W72" s="89"/>
      <c r="X72" s="92"/>
      <c r="Y72" s="92"/>
      <c r="Z72" s="89"/>
      <c r="AA72" s="92"/>
      <c r="AB72" s="89"/>
      <c r="AC72" s="104"/>
      <c r="AD72" s="104"/>
      <c r="AE72" s="92"/>
      <c r="AF72" s="92"/>
      <c r="AG72" s="99"/>
      <c r="AH72" s="99"/>
    </row>
    <row r="73" ht="26.25" customHeight="1">
      <c r="B73" s="95"/>
      <c r="C73" s="95"/>
      <c r="D73" s="77"/>
      <c r="E73" s="101"/>
      <c r="F73" s="89" t="str">
        <f t="shared" si="6"/>
        <v/>
      </c>
      <c r="G73" s="92"/>
      <c r="H73" s="103"/>
      <c r="I73" s="92"/>
      <c r="J73" s="93" t="b">
        <v>0</v>
      </c>
      <c r="K73" s="89"/>
      <c r="L73" s="89"/>
      <c r="M73" s="96"/>
      <c r="N73" s="96"/>
      <c r="O73" s="96"/>
      <c r="P73" s="96"/>
      <c r="Q73" s="95"/>
      <c r="R73" s="95"/>
      <c r="S73" s="95"/>
      <c r="T73" s="95"/>
      <c r="U73" s="95"/>
      <c r="V73" s="89" t="str">
        <f t="shared" si="5"/>
        <v/>
      </c>
      <c r="W73" s="89"/>
      <c r="X73" s="92"/>
      <c r="Y73" s="92"/>
      <c r="Z73" s="89"/>
      <c r="AA73" s="92"/>
      <c r="AB73" s="89"/>
      <c r="AC73" s="104"/>
      <c r="AD73" s="104"/>
      <c r="AE73" s="92"/>
      <c r="AF73" s="92"/>
      <c r="AG73" s="99"/>
      <c r="AH73" s="99"/>
    </row>
    <row r="74" ht="26.25" customHeight="1">
      <c r="B74" s="95"/>
      <c r="C74" s="95"/>
      <c r="D74" s="77"/>
      <c r="E74" s="101"/>
      <c r="F74" s="89" t="str">
        <f t="shared" si="6"/>
        <v/>
      </c>
      <c r="G74" s="92"/>
      <c r="H74" s="103"/>
      <c r="I74" s="92"/>
      <c r="J74" s="93" t="b">
        <v>0</v>
      </c>
      <c r="K74" s="89"/>
      <c r="L74" s="89"/>
      <c r="M74" s="96"/>
      <c r="N74" s="96"/>
      <c r="O74" s="96"/>
      <c r="P74" s="96"/>
      <c r="Q74" s="95"/>
      <c r="R74" s="95"/>
      <c r="S74" s="95"/>
      <c r="T74" s="95"/>
      <c r="U74" s="95"/>
      <c r="V74" s="89" t="str">
        <f t="shared" si="5"/>
        <v/>
      </c>
      <c r="W74" s="89"/>
      <c r="X74" s="92"/>
      <c r="Y74" s="92"/>
      <c r="Z74" s="89"/>
      <c r="AA74" s="92"/>
      <c r="AB74" s="89"/>
      <c r="AC74" s="104"/>
      <c r="AD74" s="104"/>
      <c r="AE74" s="92"/>
      <c r="AF74" s="92"/>
      <c r="AG74" s="99"/>
      <c r="AH74" s="99"/>
    </row>
    <row r="75" ht="26.25" customHeight="1">
      <c r="B75" s="95"/>
      <c r="C75" s="95"/>
      <c r="D75" s="77"/>
      <c r="E75" s="101"/>
      <c r="F75" s="89" t="str">
        <f t="shared" si="6"/>
        <v/>
      </c>
      <c r="G75" s="92"/>
      <c r="H75" s="103"/>
      <c r="I75" s="92"/>
      <c r="J75" s="93" t="b">
        <v>0</v>
      </c>
      <c r="K75" s="89"/>
      <c r="L75" s="89"/>
      <c r="M75" s="96"/>
      <c r="N75" s="96"/>
      <c r="O75" s="96"/>
      <c r="P75" s="96"/>
      <c r="Q75" s="95"/>
      <c r="R75" s="95"/>
      <c r="S75" s="95"/>
      <c r="T75" s="95"/>
      <c r="U75" s="95"/>
      <c r="V75" s="89" t="str">
        <f t="shared" si="5"/>
        <v/>
      </c>
      <c r="W75" s="89"/>
      <c r="X75" s="92"/>
      <c r="Y75" s="92"/>
      <c r="Z75" s="89"/>
      <c r="AA75" s="92"/>
      <c r="AB75" s="89"/>
      <c r="AC75" s="104"/>
      <c r="AD75" s="104"/>
      <c r="AE75" s="92"/>
      <c r="AF75" s="92"/>
      <c r="AG75" s="99"/>
      <c r="AH75" s="99"/>
    </row>
    <row r="76" ht="26.25" customHeight="1">
      <c r="B76" s="95"/>
      <c r="C76" s="95"/>
      <c r="D76" s="77"/>
      <c r="E76" s="101"/>
      <c r="F76" s="89" t="str">
        <f t="shared" si="6"/>
        <v/>
      </c>
      <c r="G76" s="92"/>
      <c r="H76" s="103"/>
      <c r="I76" s="92"/>
      <c r="J76" s="93" t="b">
        <v>0</v>
      </c>
      <c r="K76" s="89"/>
      <c r="L76" s="89"/>
      <c r="M76" s="96"/>
      <c r="N76" s="96"/>
      <c r="O76" s="96"/>
      <c r="P76" s="96"/>
      <c r="Q76" s="95"/>
      <c r="R76" s="95"/>
      <c r="S76" s="95"/>
      <c r="T76" s="95"/>
      <c r="U76" s="95"/>
      <c r="V76" s="89" t="str">
        <f t="shared" si="5"/>
        <v/>
      </c>
      <c r="W76" s="89"/>
      <c r="X76" s="92"/>
      <c r="Y76" s="92"/>
      <c r="Z76" s="89"/>
      <c r="AA76" s="92"/>
      <c r="AB76" s="89"/>
      <c r="AC76" s="104"/>
      <c r="AD76" s="104"/>
      <c r="AE76" s="92"/>
      <c r="AF76" s="92"/>
      <c r="AG76" s="99"/>
      <c r="AH76" s="99"/>
    </row>
    <row r="77" ht="26.25" customHeight="1">
      <c r="B77" s="95"/>
      <c r="C77" s="95"/>
      <c r="D77" s="77"/>
      <c r="E77" s="101"/>
      <c r="F77" s="89" t="str">
        <f t="shared" si="6"/>
        <v/>
      </c>
      <c r="G77" s="92"/>
      <c r="H77" s="103"/>
      <c r="I77" s="92"/>
      <c r="J77" s="93" t="b">
        <v>0</v>
      </c>
      <c r="K77" s="89"/>
      <c r="L77" s="89"/>
      <c r="M77" s="96"/>
      <c r="N77" s="96"/>
      <c r="O77" s="96"/>
      <c r="P77" s="96"/>
      <c r="Q77" s="95"/>
      <c r="R77" s="95"/>
      <c r="S77" s="95"/>
      <c r="T77" s="95"/>
      <c r="U77" s="95"/>
      <c r="V77" s="89" t="str">
        <f t="shared" si="5"/>
        <v/>
      </c>
      <c r="W77" s="89"/>
      <c r="X77" s="92"/>
      <c r="Y77" s="92"/>
      <c r="Z77" s="89"/>
      <c r="AA77" s="92"/>
      <c r="AB77" s="89"/>
      <c r="AC77" s="104"/>
      <c r="AD77" s="104"/>
      <c r="AE77" s="92"/>
      <c r="AF77" s="92"/>
      <c r="AG77" s="99"/>
      <c r="AH77" s="99"/>
    </row>
    <row r="78" ht="26.25" customHeight="1">
      <c r="B78" s="95"/>
      <c r="C78" s="95"/>
      <c r="D78" s="77"/>
      <c r="E78" s="101"/>
      <c r="F78" s="89" t="str">
        <f t="shared" si="6"/>
        <v/>
      </c>
      <c r="G78" s="92"/>
      <c r="H78" s="103"/>
      <c r="I78" s="92"/>
      <c r="J78" s="93" t="b">
        <v>0</v>
      </c>
      <c r="K78" s="89"/>
      <c r="L78" s="89"/>
      <c r="M78" s="96"/>
      <c r="N78" s="96"/>
      <c r="O78" s="96"/>
      <c r="P78" s="96"/>
      <c r="Q78" s="95"/>
      <c r="R78" s="95"/>
      <c r="S78" s="95"/>
      <c r="T78" s="95"/>
      <c r="U78" s="95"/>
      <c r="V78" s="89" t="str">
        <f t="shared" si="5"/>
        <v/>
      </c>
      <c r="W78" s="89"/>
      <c r="X78" s="92"/>
      <c r="Y78" s="92"/>
      <c r="Z78" s="89"/>
      <c r="AA78" s="92"/>
      <c r="AB78" s="89"/>
      <c r="AC78" s="104"/>
      <c r="AD78" s="104"/>
      <c r="AE78" s="92"/>
      <c r="AF78" s="92"/>
      <c r="AG78" s="99"/>
      <c r="AH78" s="99"/>
    </row>
    <row r="79" ht="26.25" customHeight="1">
      <c r="B79" s="95"/>
      <c r="C79" s="95"/>
      <c r="D79" s="77"/>
      <c r="E79" s="101"/>
      <c r="F79" s="89" t="str">
        <f t="shared" si="6"/>
        <v/>
      </c>
      <c r="G79" s="92"/>
      <c r="H79" s="103"/>
      <c r="I79" s="92"/>
      <c r="J79" s="93" t="b">
        <v>0</v>
      </c>
      <c r="K79" s="89"/>
      <c r="L79" s="89"/>
      <c r="M79" s="96"/>
      <c r="N79" s="96"/>
      <c r="O79" s="96"/>
      <c r="P79" s="96"/>
      <c r="Q79" s="95"/>
      <c r="R79" s="95"/>
      <c r="S79" s="95"/>
      <c r="T79" s="95"/>
      <c r="U79" s="95"/>
      <c r="V79" s="89" t="str">
        <f t="shared" si="5"/>
        <v/>
      </c>
      <c r="W79" s="89"/>
      <c r="X79" s="92"/>
      <c r="Y79" s="92"/>
      <c r="Z79" s="89"/>
      <c r="AA79" s="92"/>
      <c r="AB79" s="89"/>
      <c r="AC79" s="104"/>
      <c r="AD79" s="104"/>
      <c r="AE79" s="92"/>
      <c r="AF79" s="92"/>
      <c r="AG79" s="99"/>
      <c r="AH79" s="99"/>
    </row>
    <row r="80" ht="26.25" customHeight="1">
      <c r="B80" s="95"/>
      <c r="C80" s="95"/>
      <c r="D80" s="77"/>
      <c r="E80" s="101"/>
      <c r="F80" s="89" t="str">
        <f t="shared" si="6"/>
        <v/>
      </c>
      <c r="G80" s="92"/>
      <c r="H80" s="103"/>
      <c r="I80" s="92"/>
      <c r="J80" s="93" t="b">
        <v>0</v>
      </c>
      <c r="K80" s="89"/>
      <c r="L80" s="89"/>
      <c r="M80" s="96"/>
      <c r="N80" s="96"/>
      <c r="O80" s="96"/>
      <c r="P80" s="96"/>
      <c r="Q80" s="95"/>
      <c r="R80" s="95"/>
      <c r="S80" s="95"/>
      <c r="T80" s="95"/>
      <c r="U80" s="95"/>
      <c r="V80" s="89" t="str">
        <f t="shared" si="5"/>
        <v/>
      </c>
      <c r="W80" s="89"/>
      <c r="X80" s="92"/>
      <c r="Y80" s="92"/>
      <c r="Z80" s="89"/>
      <c r="AA80" s="92"/>
      <c r="AB80" s="89"/>
      <c r="AC80" s="104"/>
      <c r="AD80" s="104"/>
      <c r="AE80" s="92"/>
      <c r="AF80" s="92"/>
      <c r="AG80" s="99"/>
      <c r="AH80" s="99"/>
    </row>
    <row r="81" ht="26.25" customHeight="1">
      <c r="B81" s="95"/>
      <c r="C81" s="95"/>
      <c r="D81" s="77"/>
      <c r="E81" s="101"/>
      <c r="F81" s="89" t="str">
        <f t="shared" si="6"/>
        <v/>
      </c>
      <c r="G81" s="92"/>
      <c r="H81" s="103"/>
      <c r="I81" s="92"/>
      <c r="J81" s="93" t="b">
        <v>0</v>
      </c>
      <c r="K81" s="89"/>
      <c r="L81" s="89"/>
      <c r="M81" s="96"/>
      <c r="N81" s="96"/>
      <c r="O81" s="96"/>
      <c r="P81" s="96"/>
      <c r="Q81" s="95"/>
      <c r="R81" s="95"/>
      <c r="S81" s="95"/>
      <c r="T81" s="95"/>
      <c r="U81" s="95"/>
      <c r="V81" s="89" t="str">
        <f t="shared" si="5"/>
        <v/>
      </c>
      <c r="W81" s="89"/>
      <c r="X81" s="92"/>
      <c r="Y81" s="92"/>
      <c r="Z81" s="89"/>
      <c r="AA81" s="92"/>
      <c r="AB81" s="89"/>
      <c r="AC81" s="104"/>
      <c r="AD81" s="104"/>
      <c r="AE81" s="92"/>
      <c r="AF81" s="92"/>
      <c r="AG81" s="99"/>
      <c r="AH81" s="99"/>
    </row>
    <row r="82" ht="26.25" customHeight="1">
      <c r="B82" s="95"/>
      <c r="C82" s="95"/>
      <c r="D82" s="77"/>
      <c r="E82" s="101"/>
      <c r="F82" s="89" t="str">
        <f t="shared" si="6"/>
        <v/>
      </c>
      <c r="G82" s="92"/>
      <c r="H82" s="103"/>
      <c r="I82" s="92"/>
      <c r="J82" s="93" t="b">
        <v>0</v>
      </c>
      <c r="K82" s="89"/>
      <c r="L82" s="89"/>
      <c r="M82" s="96"/>
      <c r="N82" s="96"/>
      <c r="O82" s="96"/>
      <c r="P82" s="96"/>
      <c r="Q82" s="95"/>
      <c r="R82" s="95"/>
      <c r="S82" s="95"/>
      <c r="T82" s="95"/>
      <c r="U82" s="95"/>
      <c r="V82" s="89" t="str">
        <f t="shared" si="5"/>
        <v/>
      </c>
      <c r="W82" s="89"/>
      <c r="X82" s="92"/>
      <c r="Y82" s="92"/>
      <c r="Z82" s="89"/>
      <c r="AA82" s="92"/>
      <c r="AB82" s="89"/>
      <c r="AC82" s="104"/>
      <c r="AD82" s="104"/>
      <c r="AE82" s="92"/>
      <c r="AF82" s="92"/>
      <c r="AG82" s="99"/>
      <c r="AH82" s="99"/>
    </row>
    <row r="83" ht="26.25" customHeight="1">
      <c r="B83" s="95"/>
      <c r="C83" s="95"/>
      <c r="D83" s="77"/>
      <c r="E83" s="101"/>
      <c r="F83" s="89" t="str">
        <f t="shared" si="6"/>
        <v/>
      </c>
      <c r="G83" s="92"/>
      <c r="H83" s="103"/>
      <c r="I83" s="92"/>
      <c r="J83" s="93" t="b">
        <v>0</v>
      </c>
      <c r="K83" s="89"/>
      <c r="L83" s="89"/>
      <c r="M83" s="96"/>
      <c r="N83" s="96"/>
      <c r="O83" s="96"/>
      <c r="P83" s="96"/>
      <c r="Q83" s="95"/>
      <c r="R83" s="95"/>
      <c r="S83" s="95"/>
      <c r="T83" s="95"/>
      <c r="U83" s="95"/>
      <c r="V83" s="89" t="str">
        <f t="shared" si="5"/>
        <v/>
      </c>
      <c r="W83" s="89"/>
      <c r="X83" s="92"/>
      <c r="Y83" s="92"/>
      <c r="Z83" s="89"/>
      <c r="AA83" s="92"/>
      <c r="AB83" s="89"/>
      <c r="AC83" s="104"/>
      <c r="AD83" s="104"/>
      <c r="AE83" s="92"/>
      <c r="AF83" s="92"/>
      <c r="AG83" s="99"/>
      <c r="AH83" s="99"/>
    </row>
    <row r="84" ht="26.25" customHeight="1">
      <c r="B84" s="95"/>
      <c r="C84" s="95"/>
      <c r="D84" s="77"/>
      <c r="E84" s="101"/>
      <c r="F84" s="89" t="str">
        <f t="shared" si="6"/>
        <v/>
      </c>
      <c r="G84" s="92"/>
      <c r="H84" s="103"/>
      <c r="I84" s="92"/>
      <c r="J84" s="93" t="b">
        <v>0</v>
      </c>
      <c r="K84" s="89"/>
      <c r="L84" s="89"/>
      <c r="M84" s="96"/>
      <c r="N84" s="96"/>
      <c r="O84" s="96"/>
      <c r="P84" s="96"/>
      <c r="Q84" s="95"/>
      <c r="R84" s="95"/>
      <c r="S84" s="95"/>
      <c r="T84" s="95"/>
      <c r="U84" s="95"/>
      <c r="V84" s="89" t="str">
        <f t="shared" si="5"/>
        <v/>
      </c>
      <c r="W84" s="89"/>
      <c r="X84" s="92"/>
      <c r="Y84" s="92"/>
      <c r="Z84" s="89"/>
      <c r="AA84" s="92"/>
      <c r="AB84" s="89"/>
      <c r="AC84" s="104"/>
      <c r="AD84" s="104"/>
      <c r="AE84" s="92"/>
      <c r="AF84" s="92"/>
      <c r="AG84" s="99"/>
      <c r="AH84" s="99"/>
    </row>
    <row r="85" ht="26.25" customHeight="1">
      <c r="B85" s="95"/>
      <c r="C85" s="95"/>
      <c r="D85" s="77"/>
      <c r="E85" s="101"/>
      <c r="F85" s="89" t="str">
        <f t="shared" si="6"/>
        <v/>
      </c>
      <c r="G85" s="92"/>
      <c r="H85" s="103"/>
      <c r="I85" s="92"/>
      <c r="J85" s="93" t="b">
        <v>0</v>
      </c>
      <c r="K85" s="89"/>
      <c r="L85" s="89"/>
      <c r="M85" s="96"/>
      <c r="N85" s="96"/>
      <c r="O85" s="96"/>
      <c r="P85" s="96"/>
      <c r="Q85" s="95"/>
      <c r="R85" s="95"/>
      <c r="S85" s="95"/>
      <c r="T85" s="95"/>
      <c r="U85" s="95"/>
      <c r="V85" s="89" t="str">
        <f t="shared" si="5"/>
        <v/>
      </c>
      <c r="W85" s="89"/>
      <c r="X85" s="92"/>
      <c r="Y85" s="92"/>
      <c r="Z85" s="89"/>
      <c r="AA85" s="92"/>
      <c r="AB85" s="89"/>
      <c r="AC85" s="104"/>
      <c r="AD85" s="104"/>
      <c r="AE85" s="92"/>
      <c r="AF85" s="92"/>
      <c r="AG85" s="99"/>
      <c r="AH85" s="99"/>
    </row>
    <row r="86" ht="26.25" customHeight="1">
      <c r="B86" s="95"/>
      <c r="C86" s="95"/>
      <c r="D86" s="77"/>
      <c r="E86" s="101"/>
      <c r="F86" s="89" t="str">
        <f t="shared" si="6"/>
        <v/>
      </c>
      <c r="G86" s="92"/>
      <c r="H86" s="103"/>
      <c r="I86" s="92"/>
      <c r="J86" s="93" t="b">
        <v>0</v>
      </c>
      <c r="K86" s="89"/>
      <c r="L86" s="89"/>
      <c r="M86" s="96"/>
      <c r="N86" s="96"/>
      <c r="O86" s="96"/>
      <c r="P86" s="96"/>
      <c r="Q86" s="95"/>
      <c r="R86" s="95"/>
      <c r="S86" s="95"/>
      <c r="T86" s="95"/>
      <c r="U86" s="95"/>
      <c r="V86" s="89" t="str">
        <f t="shared" si="5"/>
        <v/>
      </c>
      <c r="W86" s="89"/>
      <c r="X86" s="92"/>
      <c r="Y86" s="92"/>
      <c r="Z86" s="89"/>
      <c r="AA86" s="92"/>
      <c r="AB86" s="89"/>
      <c r="AC86" s="104"/>
      <c r="AD86" s="104"/>
      <c r="AE86" s="92"/>
      <c r="AF86" s="92"/>
      <c r="AG86" s="99"/>
      <c r="AH86" s="99"/>
    </row>
    <row r="87" ht="26.25" customHeight="1">
      <c r="B87" s="95"/>
      <c r="C87" s="95"/>
      <c r="D87" s="77"/>
      <c r="E87" s="101"/>
      <c r="F87" s="89" t="str">
        <f t="shared" si="6"/>
        <v/>
      </c>
      <c r="G87" s="92"/>
      <c r="H87" s="103"/>
      <c r="I87" s="92"/>
      <c r="J87" s="93" t="b">
        <v>0</v>
      </c>
      <c r="K87" s="89"/>
      <c r="L87" s="89"/>
      <c r="M87" s="96"/>
      <c r="N87" s="96"/>
      <c r="O87" s="96"/>
      <c r="P87" s="96"/>
      <c r="Q87" s="95"/>
      <c r="R87" s="95"/>
      <c r="S87" s="95"/>
      <c r="T87" s="95"/>
      <c r="U87" s="95"/>
      <c r="V87" s="89" t="str">
        <f t="shared" si="5"/>
        <v/>
      </c>
      <c r="W87" s="89"/>
      <c r="X87" s="92"/>
      <c r="Y87" s="92"/>
      <c r="Z87" s="89"/>
      <c r="AA87" s="92"/>
      <c r="AB87" s="89"/>
      <c r="AC87" s="104"/>
      <c r="AD87" s="104"/>
      <c r="AE87" s="92"/>
      <c r="AF87" s="92"/>
      <c r="AG87" s="99"/>
      <c r="AH87" s="99"/>
    </row>
    <row r="88" ht="26.25" customHeight="1">
      <c r="B88" s="95"/>
      <c r="C88" s="95"/>
      <c r="D88" s="77"/>
      <c r="E88" s="101"/>
      <c r="F88" s="89" t="str">
        <f t="shared" si="6"/>
        <v/>
      </c>
      <c r="G88" s="92"/>
      <c r="H88" s="103"/>
      <c r="I88" s="92"/>
      <c r="J88" s="93" t="b">
        <v>0</v>
      </c>
      <c r="K88" s="89"/>
      <c r="L88" s="89"/>
      <c r="M88" s="96"/>
      <c r="N88" s="96"/>
      <c r="O88" s="96"/>
      <c r="P88" s="96"/>
      <c r="Q88" s="95"/>
      <c r="R88" s="95"/>
      <c r="S88" s="95"/>
      <c r="T88" s="95"/>
      <c r="U88" s="95"/>
      <c r="V88" s="89" t="str">
        <f t="shared" si="5"/>
        <v/>
      </c>
      <c r="W88" s="89"/>
      <c r="X88" s="92"/>
      <c r="Y88" s="92"/>
      <c r="Z88" s="89"/>
      <c r="AA88" s="92"/>
      <c r="AB88" s="89"/>
      <c r="AC88" s="104"/>
      <c r="AD88" s="104"/>
      <c r="AE88" s="92"/>
      <c r="AF88" s="92"/>
      <c r="AG88" s="99"/>
      <c r="AH88" s="99"/>
    </row>
    <row r="89" ht="26.25" customHeight="1">
      <c r="B89" s="95"/>
      <c r="C89" s="95"/>
      <c r="D89" s="77"/>
      <c r="E89" s="101"/>
      <c r="F89" s="89" t="str">
        <f t="shared" si="6"/>
        <v/>
      </c>
      <c r="G89" s="92"/>
      <c r="H89" s="103"/>
      <c r="I89" s="92"/>
      <c r="J89" s="93" t="b">
        <v>0</v>
      </c>
      <c r="K89" s="89"/>
      <c r="L89" s="89"/>
      <c r="M89" s="96"/>
      <c r="N89" s="96"/>
      <c r="O89" s="96"/>
      <c r="P89" s="96"/>
      <c r="Q89" s="95"/>
      <c r="R89" s="95"/>
      <c r="S89" s="95"/>
      <c r="T89" s="95"/>
      <c r="U89" s="95"/>
      <c r="V89" s="89" t="str">
        <f t="shared" si="5"/>
        <v/>
      </c>
      <c r="W89" s="89"/>
      <c r="X89" s="92"/>
      <c r="Y89" s="92"/>
      <c r="Z89" s="89"/>
      <c r="AA89" s="92"/>
      <c r="AB89" s="89"/>
      <c r="AC89" s="104"/>
      <c r="AD89" s="104"/>
      <c r="AE89" s="92"/>
      <c r="AF89" s="92"/>
      <c r="AG89" s="99"/>
      <c r="AH89" s="99"/>
    </row>
    <row r="90" ht="26.25" customHeight="1">
      <c r="B90" s="95"/>
      <c r="C90" s="95"/>
      <c r="D90" s="77"/>
      <c r="E90" s="101"/>
      <c r="F90" s="89" t="str">
        <f t="shared" si="6"/>
        <v/>
      </c>
      <c r="G90" s="92"/>
      <c r="H90" s="103"/>
      <c r="I90" s="92"/>
      <c r="J90" s="93" t="b">
        <v>0</v>
      </c>
      <c r="K90" s="89"/>
      <c r="L90" s="89"/>
      <c r="M90" s="96"/>
      <c r="N90" s="96"/>
      <c r="O90" s="96"/>
      <c r="P90" s="96"/>
      <c r="Q90" s="95"/>
      <c r="R90" s="95"/>
      <c r="S90" s="95"/>
      <c r="T90" s="95"/>
      <c r="U90" s="95"/>
      <c r="V90" s="89" t="str">
        <f t="shared" si="5"/>
        <v/>
      </c>
      <c r="W90" s="89"/>
      <c r="X90" s="92"/>
      <c r="Y90" s="92"/>
      <c r="Z90" s="89"/>
      <c r="AA90" s="92"/>
      <c r="AB90" s="89"/>
      <c r="AC90" s="104"/>
      <c r="AD90" s="104"/>
      <c r="AE90" s="92"/>
      <c r="AF90" s="92"/>
      <c r="AG90" s="99"/>
      <c r="AH90" s="99"/>
    </row>
    <row r="91" ht="26.25" customHeight="1">
      <c r="B91" s="95"/>
      <c r="C91" s="95"/>
      <c r="D91" s="77"/>
      <c r="E91" s="101"/>
      <c r="F91" s="89" t="str">
        <f t="shared" si="6"/>
        <v/>
      </c>
      <c r="G91" s="92"/>
      <c r="H91" s="103"/>
      <c r="I91" s="92"/>
      <c r="J91" s="93" t="b">
        <v>0</v>
      </c>
      <c r="K91" s="89"/>
      <c r="L91" s="89"/>
      <c r="M91" s="96"/>
      <c r="N91" s="96"/>
      <c r="O91" s="96"/>
      <c r="P91" s="96"/>
      <c r="Q91" s="95"/>
      <c r="R91" s="95"/>
      <c r="S91" s="95"/>
      <c r="T91" s="95"/>
      <c r="U91" s="95"/>
      <c r="V91" s="89" t="str">
        <f t="shared" si="5"/>
        <v/>
      </c>
      <c r="W91" s="89"/>
      <c r="X91" s="92"/>
      <c r="Y91" s="92"/>
      <c r="Z91" s="89"/>
      <c r="AA91" s="92"/>
      <c r="AB91" s="89"/>
      <c r="AC91" s="104"/>
      <c r="AD91" s="104"/>
      <c r="AE91" s="92"/>
      <c r="AF91" s="92"/>
      <c r="AG91" s="99"/>
      <c r="AH91" s="99"/>
    </row>
    <row r="92" ht="26.25" customHeight="1">
      <c r="B92" s="95"/>
      <c r="C92" s="95"/>
      <c r="D92" s="77"/>
      <c r="E92" s="101"/>
      <c r="F92" s="89" t="str">
        <f t="shared" si="6"/>
        <v/>
      </c>
      <c r="G92" s="92"/>
      <c r="H92" s="103"/>
      <c r="I92" s="92"/>
      <c r="J92" s="93" t="b">
        <v>0</v>
      </c>
      <c r="K92" s="89"/>
      <c r="L92" s="89"/>
      <c r="M92" s="96"/>
      <c r="N92" s="96"/>
      <c r="O92" s="96"/>
      <c r="P92" s="96"/>
      <c r="Q92" s="95"/>
      <c r="R92" s="95"/>
      <c r="S92" s="95"/>
      <c r="T92" s="95"/>
      <c r="U92" s="95"/>
      <c r="V92" s="89" t="str">
        <f t="shared" si="5"/>
        <v/>
      </c>
      <c r="W92" s="89"/>
      <c r="X92" s="92"/>
      <c r="Y92" s="92"/>
      <c r="Z92" s="89"/>
      <c r="AA92" s="92"/>
      <c r="AB92" s="89"/>
      <c r="AC92" s="104"/>
      <c r="AD92" s="104"/>
      <c r="AE92" s="92"/>
      <c r="AF92" s="92"/>
      <c r="AG92" s="99"/>
      <c r="AH92" s="99"/>
    </row>
    <row r="93" ht="26.25" customHeight="1">
      <c r="B93" s="95"/>
      <c r="C93" s="95"/>
      <c r="D93" s="77"/>
      <c r="E93" s="101"/>
      <c r="F93" s="89" t="str">
        <f t="shared" si="6"/>
        <v/>
      </c>
      <c r="G93" s="92"/>
      <c r="H93" s="103"/>
      <c r="I93" s="92"/>
      <c r="J93" s="93" t="b">
        <v>0</v>
      </c>
      <c r="K93" s="89"/>
      <c r="L93" s="89"/>
      <c r="M93" s="96"/>
      <c r="N93" s="96"/>
      <c r="O93" s="96"/>
      <c r="P93" s="96"/>
      <c r="Q93" s="95"/>
      <c r="R93" s="95"/>
      <c r="S93" s="95"/>
      <c r="T93" s="95"/>
      <c r="U93" s="95"/>
      <c r="V93" s="89" t="str">
        <f t="shared" si="5"/>
        <v/>
      </c>
      <c r="W93" s="89"/>
      <c r="X93" s="92"/>
      <c r="Y93" s="92"/>
      <c r="Z93" s="89"/>
      <c r="AA93" s="92"/>
      <c r="AB93" s="89"/>
      <c r="AC93" s="104"/>
      <c r="AD93" s="104"/>
      <c r="AE93" s="92"/>
      <c r="AF93" s="92"/>
      <c r="AG93" s="99"/>
      <c r="AH93" s="99"/>
    </row>
    <row r="94" ht="26.25" customHeight="1">
      <c r="B94" s="95"/>
      <c r="C94" s="95"/>
      <c r="D94" s="77"/>
      <c r="E94" s="101"/>
      <c r="F94" s="89" t="str">
        <f t="shared" si="6"/>
        <v/>
      </c>
      <c r="G94" s="92"/>
      <c r="H94" s="103"/>
      <c r="I94" s="92"/>
      <c r="J94" s="93" t="b">
        <v>0</v>
      </c>
      <c r="K94" s="89"/>
      <c r="L94" s="89"/>
      <c r="M94" s="96"/>
      <c r="N94" s="96"/>
      <c r="O94" s="96"/>
      <c r="P94" s="96"/>
      <c r="Q94" s="95"/>
      <c r="R94" s="95"/>
      <c r="S94" s="95"/>
      <c r="T94" s="95"/>
      <c r="U94" s="95"/>
      <c r="V94" s="89" t="str">
        <f t="shared" si="5"/>
        <v/>
      </c>
      <c r="W94" s="89"/>
      <c r="X94" s="92"/>
      <c r="Y94" s="92"/>
      <c r="Z94" s="89"/>
      <c r="AA94" s="92"/>
      <c r="AB94" s="89"/>
      <c r="AC94" s="104"/>
      <c r="AD94" s="104"/>
      <c r="AE94" s="92"/>
      <c r="AF94" s="92"/>
      <c r="AG94" s="99"/>
      <c r="AH94" s="99"/>
    </row>
    <row r="95" ht="26.25" customHeight="1">
      <c r="B95" s="95"/>
      <c r="C95" s="95"/>
      <c r="D95" s="77"/>
      <c r="E95" s="101"/>
      <c r="F95" s="89" t="str">
        <f t="shared" si="6"/>
        <v/>
      </c>
      <c r="G95" s="92"/>
      <c r="H95" s="103"/>
      <c r="I95" s="92"/>
      <c r="J95" s="93" t="b">
        <v>0</v>
      </c>
      <c r="K95" s="89"/>
      <c r="L95" s="89"/>
      <c r="M95" s="96"/>
      <c r="N95" s="96"/>
      <c r="O95" s="96"/>
      <c r="P95" s="96"/>
      <c r="Q95" s="95"/>
      <c r="R95" s="95"/>
      <c r="S95" s="95"/>
      <c r="T95" s="95"/>
      <c r="U95" s="95"/>
      <c r="V95" s="89" t="str">
        <f t="shared" si="5"/>
        <v/>
      </c>
      <c r="W95" s="89"/>
      <c r="X95" s="92"/>
      <c r="Y95" s="92"/>
      <c r="Z95" s="89"/>
      <c r="AA95" s="92"/>
      <c r="AB95" s="89"/>
      <c r="AC95" s="104"/>
      <c r="AD95" s="104"/>
      <c r="AE95" s="92"/>
      <c r="AF95" s="92"/>
      <c r="AG95" s="99"/>
      <c r="AH95" s="99"/>
    </row>
    <row r="96" ht="26.25" customHeight="1">
      <c r="B96" s="95"/>
      <c r="C96" s="95"/>
      <c r="D96" s="77"/>
      <c r="E96" s="101"/>
      <c r="F96" s="89" t="str">
        <f t="shared" si="6"/>
        <v/>
      </c>
      <c r="G96" s="92"/>
      <c r="H96" s="103"/>
      <c r="I96" s="92"/>
      <c r="J96" s="93" t="b">
        <v>0</v>
      </c>
      <c r="K96" s="89"/>
      <c r="L96" s="89"/>
      <c r="M96" s="96"/>
      <c r="N96" s="96"/>
      <c r="O96" s="96"/>
      <c r="P96" s="96"/>
      <c r="Q96" s="95"/>
      <c r="R96" s="95"/>
      <c r="S96" s="95"/>
      <c r="T96" s="95"/>
      <c r="U96" s="95"/>
      <c r="V96" s="89" t="str">
        <f t="shared" si="5"/>
        <v/>
      </c>
      <c r="W96" s="89"/>
      <c r="X96" s="92"/>
      <c r="Y96" s="92"/>
      <c r="Z96" s="89"/>
      <c r="AA96" s="92"/>
      <c r="AB96" s="89"/>
      <c r="AC96" s="104"/>
      <c r="AD96" s="104"/>
      <c r="AE96" s="92"/>
      <c r="AF96" s="92"/>
      <c r="AG96" s="99"/>
      <c r="AH96" s="99"/>
    </row>
    <row r="97" ht="26.25" customHeight="1">
      <c r="B97" s="95"/>
      <c r="C97" s="95"/>
      <c r="D97" s="77"/>
      <c r="E97" s="101"/>
      <c r="F97" s="89" t="str">
        <f t="shared" si="6"/>
        <v/>
      </c>
      <c r="G97" s="92"/>
      <c r="H97" s="103"/>
      <c r="I97" s="92"/>
      <c r="J97" s="93" t="b">
        <v>0</v>
      </c>
      <c r="K97" s="89"/>
      <c r="L97" s="89"/>
      <c r="M97" s="96"/>
      <c r="N97" s="96"/>
      <c r="O97" s="96"/>
      <c r="P97" s="96"/>
      <c r="Q97" s="95"/>
      <c r="R97" s="95"/>
      <c r="S97" s="95"/>
      <c r="T97" s="95"/>
      <c r="U97" s="95"/>
      <c r="V97" s="89" t="str">
        <f t="shared" si="5"/>
        <v/>
      </c>
      <c r="W97" s="89"/>
      <c r="X97" s="92"/>
      <c r="Y97" s="92"/>
      <c r="Z97" s="89"/>
      <c r="AA97" s="92"/>
      <c r="AB97" s="89"/>
      <c r="AC97" s="104"/>
      <c r="AD97" s="104"/>
      <c r="AE97" s="92"/>
      <c r="AF97" s="92"/>
      <c r="AG97" s="99"/>
      <c r="AH97" s="99"/>
    </row>
    <row r="98" ht="26.25" customHeight="1">
      <c r="B98" s="95"/>
      <c r="C98" s="95"/>
      <c r="D98" s="77"/>
      <c r="E98" s="101"/>
      <c r="F98" s="89" t="str">
        <f t="shared" si="6"/>
        <v/>
      </c>
      <c r="G98" s="92"/>
      <c r="H98" s="103"/>
      <c r="I98" s="92"/>
      <c r="J98" s="93" t="b">
        <v>0</v>
      </c>
      <c r="K98" s="89"/>
      <c r="L98" s="89"/>
      <c r="M98" s="96"/>
      <c r="N98" s="96"/>
      <c r="O98" s="96"/>
      <c r="P98" s="96"/>
      <c r="Q98" s="95"/>
      <c r="R98" s="95"/>
      <c r="S98" s="95"/>
      <c r="T98" s="95"/>
      <c r="U98" s="95"/>
      <c r="V98" s="89" t="str">
        <f t="shared" si="5"/>
        <v/>
      </c>
      <c r="W98" s="89"/>
      <c r="X98" s="92"/>
      <c r="Y98" s="92"/>
      <c r="Z98" s="89"/>
      <c r="AA98" s="92"/>
      <c r="AB98" s="89"/>
      <c r="AC98" s="104"/>
      <c r="AD98" s="104"/>
      <c r="AE98" s="92"/>
      <c r="AF98" s="92"/>
      <c r="AG98" s="99"/>
      <c r="AH98" s="99"/>
    </row>
    <row r="99" ht="26.25" customHeight="1">
      <c r="B99" s="95"/>
      <c r="C99" s="95"/>
      <c r="D99" s="77"/>
      <c r="E99" s="101"/>
      <c r="F99" s="89" t="str">
        <f t="shared" si="6"/>
        <v/>
      </c>
      <c r="G99" s="92"/>
      <c r="H99" s="103"/>
      <c r="I99" s="92"/>
      <c r="J99" s="93" t="b">
        <v>0</v>
      </c>
      <c r="K99" s="89"/>
      <c r="L99" s="89"/>
      <c r="M99" s="96"/>
      <c r="N99" s="96"/>
      <c r="O99" s="96"/>
      <c r="P99" s="96"/>
      <c r="Q99" s="95"/>
      <c r="R99" s="95"/>
      <c r="S99" s="95"/>
      <c r="T99" s="95"/>
      <c r="U99" s="95"/>
      <c r="V99" s="89" t="str">
        <f t="shared" si="5"/>
        <v/>
      </c>
      <c r="W99" s="89"/>
      <c r="X99" s="92"/>
      <c r="Y99" s="92"/>
      <c r="Z99" s="89"/>
      <c r="AA99" s="92"/>
      <c r="AB99" s="89"/>
      <c r="AC99" s="104"/>
      <c r="AD99" s="104"/>
      <c r="AE99" s="92"/>
      <c r="AF99" s="92"/>
      <c r="AG99" s="99"/>
      <c r="AH99" s="99"/>
    </row>
    <row r="100" ht="26.25" customHeight="1">
      <c r="B100" s="95"/>
      <c r="C100" s="95"/>
      <c r="D100" s="77"/>
      <c r="E100" s="101"/>
      <c r="F100" s="89" t="str">
        <f t="shared" si="6"/>
        <v/>
      </c>
      <c r="G100" s="92"/>
      <c r="H100" s="103"/>
      <c r="I100" s="92"/>
      <c r="J100" s="93" t="b">
        <v>0</v>
      </c>
      <c r="K100" s="89"/>
      <c r="L100" s="89"/>
      <c r="M100" s="96"/>
      <c r="N100" s="96"/>
      <c r="O100" s="96"/>
      <c r="P100" s="96"/>
      <c r="Q100" s="95"/>
      <c r="R100" s="95"/>
      <c r="S100" s="95"/>
      <c r="T100" s="95"/>
      <c r="U100" s="95"/>
      <c r="V100" s="89" t="str">
        <f t="shared" si="5"/>
        <v/>
      </c>
      <c r="W100" s="89"/>
      <c r="X100" s="92"/>
      <c r="Y100" s="92"/>
      <c r="Z100" s="89"/>
      <c r="AA100" s="92"/>
      <c r="AB100" s="89"/>
      <c r="AC100" s="104"/>
      <c r="AD100" s="104"/>
      <c r="AE100" s="92"/>
      <c r="AF100" s="92"/>
      <c r="AG100" s="99"/>
      <c r="AH100" s="99"/>
    </row>
    <row r="101" ht="15.75" customHeight="1">
      <c r="E101" s="112"/>
      <c r="F101" s="52" t="str">
        <f t="shared" si="6"/>
        <v/>
      </c>
      <c r="G101" s="52"/>
      <c r="H101" s="52"/>
      <c r="I101" s="52"/>
      <c r="J101" s="52"/>
      <c r="K101" s="52"/>
      <c r="L101" s="52"/>
      <c r="M101" s="113"/>
      <c r="N101" s="113"/>
      <c r="O101" s="113"/>
      <c r="P101" s="113"/>
      <c r="V101" s="52" t="str">
        <f t="shared" si="5"/>
        <v/>
      </c>
      <c r="W101" s="52"/>
      <c r="X101" s="52"/>
      <c r="Y101" s="52"/>
      <c r="Z101" s="52"/>
      <c r="AA101" s="52"/>
      <c r="AB101" s="114"/>
      <c r="AC101" s="56"/>
      <c r="AD101" s="115"/>
      <c r="AE101" s="116"/>
    </row>
    <row r="102" ht="15.75" customHeight="1">
      <c r="E102" s="112"/>
      <c r="F102" s="52" t="str">
        <f t="shared" si="6"/>
        <v/>
      </c>
      <c r="G102" s="52"/>
      <c r="H102" s="52"/>
      <c r="I102" s="52"/>
      <c r="J102" s="52"/>
      <c r="K102" s="52"/>
      <c r="L102" s="52"/>
      <c r="M102" s="113"/>
      <c r="N102" s="113"/>
      <c r="O102" s="113"/>
      <c r="P102" s="113"/>
      <c r="V102" s="52" t="str">
        <f t="shared" si="5"/>
        <v/>
      </c>
      <c r="W102" s="52"/>
      <c r="X102" s="52"/>
      <c r="Y102" s="52"/>
      <c r="Z102" s="52"/>
      <c r="AA102" s="52"/>
      <c r="AB102" s="114"/>
      <c r="AC102" s="56"/>
      <c r="AD102" s="115"/>
      <c r="AE102" s="116"/>
    </row>
    <row r="103" ht="15.75" customHeight="1">
      <c r="E103" s="112"/>
      <c r="F103" s="52" t="str">
        <f t="shared" si="6"/>
        <v/>
      </c>
      <c r="G103" s="52"/>
      <c r="H103" s="52"/>
      <c r="I103" s="52"/>
      <c r="J103" s="52"/>
      <c r="K103" s="52"/>
      <c r="L103" s="52"/>
      <c r="M103" s="113"/>
      <c r="N103" s="113"/>
      <c r="O103" s="113"/>
      <c r="P103" s="113"/>
      <c r="V103" s="52" t="str">
        <f t="shared" si="5"/>
        <v/>
      </c>
      <c r="W103" s="52"/>
      <c r="X103" s="52"/>
      <c r="Y103" s="52"/>
      <c r="Z103" s="52"/>
      <c r="AA103" s="52"/>
      <c r="AB103" s="114"/>
      <c r="AC103" s="56"/>
      <c r="AD103" s="115"/>
      <c r="AE103" s="116"/>
    </row>
    <row r="104" ht="15.75" customHeight="1">
      <c r="E104" s="112"/>
      <c r="F104" s="52" t="str">
        <f t="shared" si="6"/>
        <v/>
      </c>
      <c r="G104" s="52"/>
      <c r="H104" s="52"/>
      <c r="I104" s="52"/>
      <c r="J104" s="52"/>
      <c r="K104" s="52"/>
      <c r="L104" s="52"/>
      <c r="M104" s="113"/>
      <c r="N104" s="113"/>
      <c r="O104" s="113"/>
      <c r="P104" s="113"/>
      <c r="V104" s="52" t="str">
        <f t="shared" si="5"/>
        <v/>
      </c>
      <c r="W104" s="52"/>
      <c r="X104" s="52"/>
      <c r="Y104" s="52"/>
      <c r="Z104" s="52"/>
      <c r="AA104" s="52"/>
      <c r="AB104" s="114"/>
      <c r="AC104" s="56"/>
      <c r="AD104" s="115"/>
      <c r="AE104" s="116"/>
    </row>
    <row r="105" ht="15.75" customHeight="1">
      <c r="E105" s="112"/>
      <c r="F105" s="52" t="str">
        <f t="shared" si="6"/>
        <v/>
      </c>
      <c r="G105" s="52"/>
      <c r="H105" s="52"/>
      <c r="I105" s="52"/>
      <c r="J105" s="52"/>
      <c r="K105" s="52"/>
      <c r="L105" s="52"/>
      <c r="M105" s="113"/>
      <c r="N105" s="113"/>
      <c r="O105" s="113"/>
      <c r="P105" s="113"/>
      <c r="V105" s="52" t="str">
        <f t="shared" si="5"/>
        <v/>
      </c>
      <c r="W105" s="52"/>
      <c r="X105" s="52"/>
      <c r="Y105" s="52"/>
      <c r="Z105" s="52"/>
      <c r="AA105" s="52"/>
      <c r="AB105" s="114"/>
      <c r="AC105" s="56"/>
      <c r="AD105" s="115"/>
      <c r="AE105" s="116"/>
    </row>
    <row r="106" ht="15.75" customHeight="1">
      <c r="E106" s="112"/>
      <c r="F106" s="52" t="str">
        <f t="shared" si="6"/>
        <v/>
      </c>
      <c r="G106" s="52"/>
      <c r="H106" s="52"/>
      <c r="I106" s="52"/>
      <c r="J106" s="52"/>
      <c r="K106" s="52"/>
      <c r="L106" s="52"/>
      <c r="M106" s="113"/>
      <c r="N106" s="113"/>
      <c r="O106" s="113"/>
      <c r="P106" s="113"/>
      <c r="V106" s="52" t="str">
        <f t="shared" si="5"/>
        <v/>
      </c>
      <c r="W106" s="52"/>
      <c r="X106" s="52"/>
      <c r="Y106" s="52"/>
      <c r="Z106" s="52"/>
      <c r="AA106" s="52"/>
      <c r="AB106" s="114"/>
      <c r="AC106" s="56"/>
      <c r="AD106" s="115"/>
      <c r="AE106" s="116"/>
    </row>
    <row r="107" ht="15.75" customHeight="1">
      <c r="E107" s="112"/>
      <c r="F107" s="52" t="str">
        <f t="shared" si="6"/>
        <v/>
      </c>
      <c r="G107" s="52"/>
      <c r="H107" s="52"/>
      <c r="I107" s="52"/>
      <c r="J107" s="52"/>
      <c r="K107" s="52"/>
      <c r="L107" s="52"/>
      <c r="M107" s="113"/>
      <c r="N107" s="113"/>
      <c r="O107" s="113"/>
      <c r="P107" s="113"/>
      <c r="V107" s="52" t="str">
        <f t="shared" si="5"/>
        <v/>
      </c>
      <c r="W107" s="52"/>
      <c r="X107" s="52"/>
      <c r="Y107" s="52"/>
      <c r="Z107" s="52"/>
      <c r="AA107" s="52"/>
      <c r="AB107" s="114"/>
      <c r="AC107" s="56"/>
      <c r="AD107" s="115"/>
      <c r="AE107" s="116"/>
    </row>
    <row r="108" ht="15.75" customHeight="1">
      <c r="E108" s="112"/>
      <c r="F108" s="52" t="str">
        <f t="shared" si="6"/>
        <v/>
      </c>
      <c r="G108" s="52"/>
      <c r="H108" s="52"/>
      <c r="I108" s="52"/>
      <c r="J108" s="52"/>
      <c r="K108" s="52"/>
      <c r="L108" s="52"/>
      <c r="M108" s="113"/>
      <c r="N108" s="113"/>
      <c r="O108" s="113"/>
      <c r="P108" s="113"/>
      <c r="V108" s="52" t="str">
        <f t="shared" si="5"/>
        <v/>
      </c>
      <c r="W108" s="52"/>
      <c r="X108" s="52"/>
      <c r="Y108" s="52"/>
      <c r="Z108" s="52"/>
      <c r="AA108" s="52"/>
      <c r="AB108" s="114"/>
      <c r="AC108" s="56"/>
      <c r="AD108" s="115"/>
      <c r="AE108" s="116"/>
    </row>
    <row r="109" ht="15.75" customHeight="1">
      <c r="E109" s="112"/>
      <c r="F109" s="52" t="str">
        <f t="shared" si="6"/>
        <v/>
      </c>
      <c r="G109" s="52"/>
      <c r="H109" s="52"/>
      <c r="I109" s="52"/>
      <c r="J109" s="52"/>
      <c r="K109" s="52"/>
      <c r="L109" s="52"/>
      <c r="M109" s="113"/>
      <c r="N109" s="113"/>
      <c r="O109" s="113"/>
      <c r="P109" s="113"/>
      <c r="V109" s="52" t="str">
        <f t="shared" si="5"/>
        <v/>
      </c>
      <c r="W109" s="52"/>
      <c r="X109" s="52"/>
      <c r="Y109" s="52"/>
      <c r="Z109" s="52"/>
      <c r="AA109" s="52"/>
      <c r="AB109" s="114"/>
      <c r="AC109" s="56"/>
      <c r="AD109" s="115"/>
      <c r="AE109" s="116"/>
    </row>
    <row r="110" ht="15.75" customHeight="1">
      <c r="E110" s="112"/>
      <c r="F110" s="52" t="str">
        <f t="shared" si="6"/>
        <v/>
      </c>
      <c r="G110" s="52"/>
      <c r="H110" s="52"/>
      <c r="I110" s="52"/>
      <c r="J110" s="52"/>
      <c r="K110" s="52"/>
      <c r="L110" s="52"/>
      <c r="M110" s="113"/>
      <c r="N110" s="113"/>
      <c r="O110" s="113"/>
      <c r="P110" s="113"/>
      <c r="V110" s="52" t="str">
        <f t="shared" si="5"/>
        <v/>
      </c>
      <c r="W110" s="52"/>
      <c r="X110" s="52"/>
      <c r="Y110" s="52"/>
      <c r="Z110" s="52"/>
      <c r="AA110" s="52"/>
      <c r="AB110" s="114"/>
      <c r="AC110" s="56"/>
      <c r="AD110" s="115"/>
      <c r="AE110" s="116"/>
    </row>
    <row r="111" ht="15.75" customHeight="1">
      <c r="E111" s="112"/>
      <c r="F111" s="52" t="str">
        <f t="shared" si="6"/>
        <v/>
      </c>
      <c r="G111" s="52"/>
      <c r="H111" s="52"/>
      <c r="I111" s="52"/>
      <c r="J111" s="52"/>
      <c r="K111" s="52"/>
      <c r="L111" s="52"/>
      <c r="M111" s="113"/>
      <c r="N111" s="113"/>
      <c r="O111" s="113"/>
      <c r="P111" s="113"/>
      <c r="V111" s="52" t="str">
        <f t="shared" si="5"/>
        <v/>
      </c>
      <c r="W111" s="52"/>
      <c r="X111" s="52"/>
      <c r="Y111" s="52"/>
      <c r="Z111" s="52"/>
      <c r="AA111" s="52"/>
      <c r="AB111" s="114"/>
      <c r="AC111" s="56"/>
      <c r="AD111" s="115"/>
      <c r="AE111" s="116"/>
    </row>
    <row r="112" ht="15.75" customHeight="1">
      <c r="E112" s="112"/>
      <c r="F112" s="52" t="str">
        <f t="shared" si="6"/>
        <v/>
      </c>
      <c r="G112" s="52"/>
      <c r="H112" s="52"/>
      <c r="I112" s="52"/>
      <c r="J112" s="52"/>
      <c r="K112" s="52"/>
      <c r="L112" s="52"/>
      <c r="M112" s="113"/>
      <c r="N112" s="113"/>
      <c r="O112" s="113"/>
      <c r="P112" s="113"/>
      <c r="V112" s="52" t="str">
        <f t="shared" si="5"/>
        <v/>
      </c>
      <c r="W112" s="52"/>
      <c r="X112" s="52"/>
      <c r="Y112" s="52"/>
      <c r="Z112" s="52"/>
      <c r="AA112" s="52"/>
      <c r="AB112" s="114"/>
      <c r="AC112" s="56"/>
      <c r="AD112" s="115"/>
      <c r="AE112" s="116"/>
    </row>
    <row r="113" ht="15.75" customHeight="1">
      <c r="E113" s="112"/>
      <c r="F113" s="52" t="str">
        <f t="shared" si="6"/>
        <v/>
      </c>
      <c r="G113" s="52"/>
      <c r="H113" s="52"/>
      <c r="I113" s="52"/>
      <c r="J113" s="52"/>
      <c r="K113" s="52"/>
      <c r="L113" s="52"/>
      <c r="M113" s="113"/>
      <c r="N113" s="113"/>
      <c r="O113" s="113"/>
      <c r="P113" s="113"/>
      <c r="V113" s="52" t="str">
        <f t="shared" si="5"/>
        <v/>
      </c>
      <c r="W113" s="52"/>
      <c r="X113" s="52"/>
      <c r="Y113" s="52"/>
      <c r="Z113" s="52"/>
      <c r="AA113" s="52"/>
      <c r="AB113" s="114"/>
      <c r="AC113" s="56"/>
      <c r="AD113" s="115"/>
      <c r="AE113" s="116"/>
    </row>
    <row r="114" ht="15.75" customHeight="1">
      <c r="E114" s="112"/>
      <c r="F114" s="52" t="str">
        <f t="shared" si="6"/>
        <v/>
      </c>
      <c r="G114" s="52"/>
      <c r="H114" s="52"/>
      <c r="I114" s="52"/>
      <c r="J114" s="52"/>
      <c r="K114" s="52"/>
      <c r="L114" s="52"/>
      <c r="M114" s="113"/>
      <c r="N114" s="113"/>
      <c r="O114" s="113"/>
      <c r="P114" s="113"/>
      <c r="V114" s="52" t="str">
        <f t="shared" si="5"/>
        <v/>
      </c>
      <c r="W114" s="52"/>
      <c r="X114" s="52"/>
      <c r="Y114" s="52"/>
      <c r="Z114" s="52"/>
      <c r="AA114" s="52"/>
      <c r="AB114" s="114"/>
      <c r="AC114" s="56"/>
      <c r="AD114" s="115"/>
      <c r="AE114" s="116"/>
    </row>
    <row r="115" ht="15.75" customHeight="1">
      <c r="E115" s="112"/>
      <c r="F115" s="52" t="str">
        <f t="shared" si="6"/>
        <v/>
      </c>
      <c r="G115" s="52"/>
      <c r="H115" s="52"/>
      <c r="I115" s="52"/>
      <c r="J115" s="52"/>
      <c r="K115" s="52"/>
      <c r="L115" s="52"/>
      <c r="M115" s="113"/>
      <c r="N115" s="113"/>
      <c r="O115" s="113"/>
      <c r="P115" s="113"/>
      <c r="V115" s="52" t="str">
        <f t="shared" si="5"/>
        <v/>
      </c>
      <c r="W115" s="52"/>
      <c r="X115" s="52"/>
      <c r="Y115" s="52"/>
      <c r="Z115" s="52"/>
      <c r="AA115" s="52"/>
      <c r="AB115" s="114"/>
      <c r="AC115" s="56"/>
      <c r="AD115" s="115"/>
      <c r="AE115" s="116"/>
    </row>
    <row r="116" ht="15.75" customHeight="1">
      <c r="E116" s="112"/>
      <c r="F116" s="52" t="str">
        <f t="shared" si="6"/>
        <v/>
      </c>
      <c r="G116" s="52"/>
      <c r="H116" s="52"/>
      <c r="I116" s="52"/>
      <c r="J116" s="52"/>
      <c r="K116" s="52"/>
      <c r="L116" s="52"/>
      <c r="M116" s="113"/>
      <c r="N116" s="113"/>
      <c r="O116" s="113"/>
      <c r="P116" s="113"/>
      <c r="V116" s="52" t="str">
        <f t="shared" si="5"/>
        <v/>
      </c>
      <c r="W116" s="52"/>
      <c r="X116" s="52"/>
      <c r="Y116" s="52"/>
      <c r="Z116" s="52"/>
      <c r="AA116" s="52"/>
      <c r="AB116" s="114"/>
      <c r="AC116" s="56"/>
      <c r="AD116" s="115"/>
      <c r="AE116" s="116"/>
    </row>
    <row r="117" ht="15.75" customHeight="1">
      <c r="E117" s="112"/>
      <c r="F117" s="52" t="str">
        <f t="shared" si="6"/>
        <v/>
      </c>
      <c r="G117" s="52"/>
      <c r="H117" s="52"/>
      <c r="I117" s="52"/>
      <c r="J117" s="52"/>
      <c r="K117" s="52"/>
      <c r="L117" s="52"/>
      <c r="M117" s="113"/>
      <c r="N117" s="113"/>
      <c r="O117" s="113"/>
      <c r="P117" s="113"/>
      <c r="V117" s="52" t="str">
        <f t="shared" si="5"/>
        <v/>
      </c>
      <c r="W117" s="52"/>
      <c r="X117" s="52"/>
      <c r="Y117" s="52"/>
      <c r="Z117" s="52"/>
      <c r="AA117" s="52"/>
      <c r="AB117" s="114"/>
      <c r="AC117" s="56"/>
      <c r="AD117" s="115"/>
      <c r="AE117" s="116"/>
    </row>
    <row r="118" ht="15.75" customHeight="1">
      <c r="E118" s="112"/>
      <c r="F118" s="52" t="str">
        <f t="shared" si="6"/>
        <v/>
      </c>
      <c r="G118" s="52"/>
      <c r="H118" s="52"/>
      <c r="I118" s="52"/>
      <c r="J118" s="52"/>
      <c r="K118" s="52"/>
      <c r="L118" s="52"/>
      <c r="M118" s="113"/>
      <c r="N118" s="113"/>
      <c r="O118" s="113"/>
      <c r="P118" s="113"/>
      <c r="V118" s="52" t="str">
        <f t="shared" si="5"/>
        <v/>
      </c>
      <c r="W118" s="52"/>
      <c r="X118" s="52"/>
      <c r="Y118" s="52"/>
      <c r="Z118" s="52"/>
      <c r="AA118" s="52"/>
      <c r="AB118" s="114"/>
      <c r="AC118" s="56"/>
      <c r="AD118" s="115"/>
      <c r="AE118" s="116"/>
    </row>
    <row r="119" ht="15.75" customHeight="1">
      <c r="E119" s="112"/>
      <c r="F119" s="52" t="str">
        <f t="shared" si="6"/>
        <v/>
      </c>
      <c r="G119" s="52"/>
      <c r="H119" s="52"/>
      <c r="I119" s="52"/>
      <c r="J119" s="52"/>
      <c r="K119" s="52"/>
      <c r="L119" s="52"/>
      <c r="M119" s="113"/>
      <c r="N119" s="113"/>
      <c r="O119" s="113"/>
      <c r="P119" s="113"/>
      <c r="V119" s="52" t="str">
        <f t="shared" si="5"/>
        <v/>
      </c>
      <c r="W119" s="52"/>
      <c r="X119" s="52"/>
      <c r="Y119" s="52"/>
      <c r="Z119" s="52"/>
      <c r="AA119" s="52"/>
      <c r="AB119" s="114"/>
      <c r="AC119" s="56"/>
      <c r="AD119" s="115"/>
      <c r="AE119" s="116"/>
    </row>
    <row r="120" ht="15.75" customHeight="1">
      <c r="E120" s="112"/>
      <c r="F120" s="52" t="str">
        <f t="shared" si="6"/>
        <v/>
      </c>
      <c r="G120" s="52"/>
      <c r="H120" s="52"/>
      <c r="I120" s="52"/>
      <c r="J120" s="52"/>
      <c r="K120" s="52"/>
      <c r="L120" s="52"/>
      <c r="M120" s="113"/>
      <c r="N120" s="113"/>
      <c r="O120" s="113"/>
      <c r="P120" s="113"/>
      <c r="V120" s="52" t="str">
        <f t="shared" si="5"/>
        <v/>
      </c>
      <c r="W120" s="52"/>
      <c r="X120" s="52"/>
      <c r="Y120" s="52"/>
      <c r="Z120" s="52"/>
      <c r="AA120" s="52"/>
      <c r="AB120" s="114"/>
      <c r="AC120" s="56"/>
      <c r="AD120" s="115"/>
      <c r="AE120" s="116"/>
    </row>
    <row r="121" ht="15.75" customHeight="1">
      <c r="E121" s="112"/>
      <c r="F121" s="52" t="str">
        <f t="shared" si="6"/>
        <v/>
      </c>
      <c r="G121" s="52"/>
      <c r="H121" s="52"/>
      <c r="I121" s="52"/>
      <c r="J121" s="52"/>
      <c r="K121" s="52"/>
      <c r="L121" s="52"/>
      <c r="M121" s="113"/>
      <c r="N121" s="113"/>
      <c r="O121" s="113"/>
      <c r="P121" s="113"/>
      <c r="V121" s="52" t="str">
        <f t="shared" si="5"/>
        <v/>
      </c>
      <c r="W121" s="52"/>
      <c r="X121" s="52"/>
      <c r="Y121" s="52"/>
      <c r="Z121" s="52"/>
      <c r="AA121" s="52"/>
      <c r="AB121" s="114"/>
      <c r="AC121" s="56"/>
      <c r="AD121" s="115"/>
      <c r="AE121" s="116"/>
    </row>
    <row r="122" ht="15.75" customHeight="1">
      <c r="E122" s="112"/>
      <c r="F122" s="52" t="str">
        <f t="shared" si="6"/>
        <v/>
      </c>
      <c r="G122" s="52"/>
      <c r="H122" s="52"/>
      <c r="I122" s="52"/>
      <c r="J122" s="52"/>
      <c r="K122" s="52"/>
      <c r="L122" s="52"/>
      <c r="M122" s="113"/>
      <c r="N122" s="113"/>
      <c r="O122" s="113"/>
      <c r="P122" s="113"/>
      <c r="V122" s="52" t="str">
        <f t="shared" si="5"/>
        <v/>
      </c>
      <c r="W122" s="52"/>
      <c r="X122" s="52"/>
      <c r="Y122" s="52"/>
      <c r="Z122" s="52"/>
      <c r="AA122" s="52"/>
      <c r="AB122" s="114"/>
      <c r="AC122" s="56"/>
      <c r="AD122" s="115"/>
      <c r="AE122" s="116"/>
    </row>
    <row r="123" ht="15.75" customHeight="1">
      <c r="E123" s="112"/>
      <c r="F123" s="52" t="str">
        <f t="shared" si="6"/>
        <v/>
      </c>
      <c r="G123" s="52"/>
      <c r="H123" s="52"/>
      <c r="I123" s="52"/>
      <c r="J123" s="52"/>
      <c r="K123" s="52"/>
      <c r="L123" s="52"/>
      <c r="M123" s="113"/>
      <c r="N123" s="113"/>
      <c r="O123" s="113"/>
      <c r="P123" s="113"/>
      <c r="V123" s="52" t="str">
        <f t="shared" si="5"/>
        <v/>
      </c>
      <c r="W123" s="52"/>
      <c r="X123" s="52"/>
      <c r="Y123" s="52"/>
      <c r="Z123" s="52"/>
      <c r="AA123" s="52"/>
      <c r="AB123" s="114"/>
      <c r="AC123" s="56"/>
      <c r="AD123" s="115"/>
      <c r="AE123" s="116"/>
    </row>
    <row r="124" ht="15.75" customHeight="1">
      <c r="E124" s="112"/>
      <c r="F124" s="52" t="str">
        <f t="shared" si="6"/>
        <v/>
      </c>
      <c r="G124" s="52"/>
      <c r="H124" s="52"/>
      <c r="I124" s="52"/>
      <c r="J124" s="52"/>
      <c r="K124" s="52"/>
      <c r="L124" s="52"/>
      <c r="M124" s="113"/>
      <c r="N124" s="113"/>
      <c r="O124" s="113"/>
      <c r="P124" s="113"/>
      <c r="V124" s="52" t="str">
        <f t="shared" si="5"/>
        <v/>
      </c>
      <c r="W124" s="52"/>
      <c r="X124" s="52"/>
      <c r="Y124" s="52"/>
      <c r="Z124" s="52"/>
      <c r="AA124" s="52"/>
      <c r="AB124" s="114"/>
      <c r="AC124" s="56"/>
      <c r="AD124" s="115"/>
      <c r="AE124" s="116"/>
    </row>
    <row r="125" ht="15.75" customHeight="1">
      <c r="E125" s="112"/>
      <c r="F125" s="52" t="str">
        <f t="shared" si="6"/>
        <v/>
      </c>
      <c r="G125" s="52"/>
      <c r="H125" s="52"/>
      <c r="I125" s="52"/>
      <c r="J125" s="52"/>
      <c r="K125" s="52"/>
      <c r="L125" s="52"/>
      <c r="M125" s="113"/>
      <c r="N125" s="113"/>
      <c r="O125" s="113"/>
      <c r="P125" s="113"/>
      <c r="V125" s="52" t="str">
        <f t="shared" si="5"/>
        <v/>
      </c>
      <c r="W125" s="52"/>
      <c r="X125" s="52"/>
      <c r="Y125" s="52"/>
      <c r="Z125" s="52"/>
      <c r="AA125" s="52"/>
      <c r="AB125" s="114"/>
      <c r="AC125" s="56"/>
      <c r="AD125" s="115"/>
      <c r="AE125" s="116"/>
    </row>
    <row r="126" ht="15.75" customHeight="1">
      <c r="E126" s="112"/>
      <c r="F126" s="52" t="str">
        <f t="shared" si="6"/>
        <v/>
      </c>
      <c r="G126" s="52"/>
      <c r="H126" s="52"/>
      <c r="I126" s="52"/>
      <c r="J126" s="52"/>
      <c r="K126" s="52"/>
      <c r="L126" s="52"/>
      <c r="M126" s="113"/>
      <c r="N126" s="113"/>
      <c r="O126" s="113"/>
      <c r="P126" s="113"/>
      <c r="V126" s="52" t="str">
        <f t="shared" si="5"/>
        <v/>
      </c>
      <c r="W126" s="52"/>
      <c r="X126" s="52"/>
      <c r="Y126" s="52"/>
      <c r="Z126" s="52"/>
      <c r="AA126" s="52"/>
      <c r="AB126" s="114"/>
      <c r="AC126" s="56"/>
      <c r="AD126" s="115"/>
      <c r="AE126" s="116"/>
    </row>
    <row r="127" ht="15.75" customHeight="1">
      <c r="E127" s="112"/>
      <c r="F127" s="52" t="str">
        <f t="shared" si="6"/>
        <v/>
      </c>
      <c r="G127" s="52"/>
      <c r="H127" s="52"/>
      <c r="I127" s="52"/>
      <c r="J127" s="52"/>
      <c r="K127" s="52"/>
      <c r="L127" s="52"/>
      <c r="M127" s="113"/>
      <c r="N127" s="113"/>
      <c r="O127" s="113"/>
      <c r="P127" s="113"/>
      <c r="V127" s="52" t="str">
        <f t="shared" si="5"/>
        <v/>
      </c>
      <c r="W127" s="52"/>
      <c r="X127" s="52"/>
      <c r="Y127" s="52"/>
      <c r="Z127" s="52"/>
      <c r="AA127" s="52"/>
      <c r="AB127" s="114"/>
      <c r="AC127" s="56"/>
      <c r="AD127" s="115"/>
      <c r="AE127" s="116"/>
    </row>
    <row r="128" ht="15.75" customHeight="1">
      <c r="E128" s="112"/>
      <c r="F128" s="52" t="str">
        <f t="shared" si="6"/>
        <v/>
      </c>
      <c r="G128" s="52"/>
      <c r="H128" s="52"/>
      <c r="I128" s="52"/>
      <c r="J128" s="52"/>
      <c r="K128" s="52"/>
      <c r="L128" s="52"/>
      <c r="M128" s="113"/>
      <c r="N128" s="113"/>
      <c r="O128" s="113"/>
      <c r="P128" s="113"/>
      <c r="V128" s="52" t="str">
        <f t="shared" si="5"/>
        <v/>
      </c>
      <c r="W128" s="52"/>
      <c r="X128" s="52"/>
      <c r="Y128" s="52"/>
      <c r="Z128" s="52"/>
      <c r="AA128" s="52"/>
      <c r="AB128" s="114"/>
      <c r="AC128" s="56"/>
      <c r="AD128" s="115"/>
      <c r="AE128" s="116"/>
    </row>
    <row r="129" ht="15.75" customHeight="1">
      <c r="E129" s="112"/>
      <c r="F129" s="52" t="str">
        <f t="shared" si="6"/>
        <v/>
      </c>
      <c r="G129" s="52"/>
      <c r="H129" s="52"/>
      <c r="I129" s="52"/>
      <c r="J129" s="52"/>
      <c r="K129" s="52"/>
      <c r="L129" s="52"/>
      <c r="M129" s="113"/>
      <c r="N129" s="113"/>
      <c r="O129" s="113"/>
      <c r="P129" s="113"/>
      <c r="V129" s="52" t="str">
        <f t="shared" si="5"/>
        <v/>
      </c>
      <c r="W129" s="52"/>
      <c r="X129" s="52"/>
      <c r="Y129" s="52"/>
      <c r="Z129" s="52"/>
      <c r="AA129" s="52"/>
      <c r="AB129" s="114"/>
      <c r="AC129" s="56"/>
      <c r="AD129" s="115"/>
      <c r="AE129" s="116"/>
    </row>
    <row r="130" ht="15.75" customHeight="1">
      <c r="E130" s="112"/>
      <c r="F130" s="52" t="str">
        <f t="shared" si="6"/>
        <v/>
      </c>
      <c r="G130" s="52"/>
      <c r="H130" s="52"/>
      <c r="I130" s="52"/>
      <c r="J130" s="52"/>
      <c r="K130" s="52"/>
      <c r="L130" s="52"/>
      <c r="M130" s="113"/>
      <c r="N130" s="113"/>
      <c r="O130" s="113"/>
      <c r="P130" s="113"/>
      <c r="V130" s="52" t="str">
        <f t="shared" si="5"/>
        <v/>
      </c>
      <c r="W130" s="52"/>
      <c r="X130" s="52"/>
      <c r="Y130" s="52"/>
      <c r="Z130" s="52"/>
      <c r="AA130" s="52"/>
      <c r="AB130" s="114"/>
      <c r="AC130" s="56"/>
      <c r="AD130" s="115"/>
      <c r="AE130" s="116"/>
    </row>
    <row r="131" ht="15.75" customHeight="1">
      <c r="E131" s="112"/>
      <c r="F131" s="52" t="str">
        <f t="shared" si="6"/>
        <v/>
      </c>
      <c r="G131" s="52"/>
      <c r="H131" s="52"/>
      <c r="I131" s="52"/>
      <c r="J131" s="52"/>
      <c r="K131" s="52"/>
      <c r="L131" s="52"/>
      <c r="M131" s="113"/>
      <c r="N131" s="113"/>
      <c r="O131" s="113"/>
      <c r="P131" s="113"/>
      <c r="V131" s="52" t="str">
        <f t="shared" si="5"/>
        <v/>
      </c>
      <c r="W131" s="52"/>
      <c r="X131" s="52"/>
      <c r="Y131" s="52"/>
      <c r="Z131" s="52"/>
      <c r="AA131" s="52"/>
      <c r="AB131" s="114"/>
      <c r="AC131" s="56"/>
      <c r="AD131" s="115"/>
      <c r="AE131" s="116"/>
    </row>
    <row r="132" ht="15.75" customHeight="1">
      <c r="E132" s="112"/>
      <c r="F132" s="52" t="str">
        <f t="shared" si="6"/>
        <v/>
      </c>
      <c r="G132" s="52"/>
      <c r="H132" s="52"/>
      <c r="I132" s="52"/>
      <c r="J132" s="52"/>
      <c r="K132" s="52"/>
      <c r="L132" s="52"/>
      <c r="M132" s="113"/>
      <c r="N132" s="113"/>
      <c r="O132" s="113"/>
      <c r="P132" s="113"/>
      <c r="V132" s="52" t="str">
        <f t="shared" si="5"/>
        <v/>
      </c>
      <c r="W132" s="52"/>
      <c r="X132" s="52"/>
      <c r="Y132" s="52"/>
      <c r="Z132" s="52"/>
      <c r="AA132" s="52"/>
      <c r="AB132" s="114"/>
      <c r="AC132" s="56"/>
      <c r="AD132" s="115"/>
      <c r="AE132" s="116"/>
    </row>
    <row r="133" ht="15.75" customHeight="1">
      <c r="E133" s="112"/>
      <c r="F133" s="52" t="str">
        <f t="shared" si="6"/>
        <v/>
      </c>
      <c r="G133" s="52"/>
      <c r="H133" s="52"/>
      <c r="I133" s="52"/>
      <c r="J133" s="52"/>
      <c r="K133" s="52"/>
      <c r="L133" s="52"/>
      <c r="M133" s="113"/>
      <c r="N133" s="113"/>
      <c r="O133" s="113"/>
      <c r="P133" s="113"/>
      <c r="V133" s="52" t="str">
        <f t="shared" si="5"/>
        <v/>
      </c>
      <c r="W133" s="52"/>
      <c r="X133" s="52"/>
      <c r="Y133" s="52"/>
      <c r="Z133" s="52"/>
      <c r="AA133" s="52"/>
      <c r="AB133" s="114"/>
      <c r="AC133" s="56"/>
      <c r="AD133" s="115"/>
      <c r="AE133" s="116"/>
    </row>
    <row r="134" ht="15.75" customHeight="1">
      <c r="E134" s="112"/>
      <c r="F134" s="52" t="str">
        <f t="shared" si="6"/>
        <v/>
      </c>
      <c r="G134" s="52"/>
      <c r="H134" s="52"/>
      <c r="I134" s="52"/>
      <c r="J134" s="52"/>
      <c r="K134" s="52"/>
      <c r="L134" s="52"/>
      <c r="M134" s="113"/>
      <c r="N134" s="113"/>
      <c r="O134" s="113"/>
      <c r="P134" s="113"/>
      <c r="V134" s="52" t="str">
        <f t="shared" si="5"/>
        <v/>
      </c>
      <c r="W134" s="52"/>
      <c r="X134" s="52"/>
      <c r="Y134" s="52"/>
      <c r="Z134" s="52"/>
      <c r="AA134" s="52"/>
      <c r="AB134" s="114"/>
      <c r="AC134" s="56"/>
      <c r="AD134" s="115"/>
      <c r="AE134" s="116"/>
    </row>
    <row r="135" ht="15.75" customHeight="1">
      <c r="E135" s="112"/>
      <c r="F135" s="52" t="str">
        <f t="shared" si="6"/>
        <v/>
      </c>
      <c r="G135" s="52"/>
      <c r="H135" s="52"/>
      <c r="I135" s="52"/>
      <c r="J135" s="52"/>
      <c r="K135" s="52"/>
      <c r="L135" s="52"/>
      <c r="M135" s="113"/>
      <c r="N135" s="113"/>
      <c r="O135" s="113"/>
      <c r="P135" s="113"/>
      <c r="V135" s="52" t="str">
        <f t="shared" si="5"/>
        <v/>
      </c>
      <c r="W135" s="52"/>
      <c r="X135" s="52"/>
      <c r="Y135" s="52"/>
      <c r="Z135" s="52"/>
      <c r="AA135" s="52"/>
      <c r="AB135" s="114"/>
      <c r="AC135" s="56"/>
      <c r="AD135" s="115"/>
      <c r="AE135" s="116"/>
    </row>
    <row r="136" ht="15.75" customHeight="1">
      <c r="E136" s="112"/>
      <c r="F136" s="52" t="str">
        <f t="shared" si="6"/>
        <v/>
      </c>
      <c r="G136" s="52"/>
      <c r="H136" s="52"/>
      <c r="I136" s="52"/>
      <c r="J136" s="52"/>
      <c r="K136" s="52"/>
      <c r="L136" s="52"/>
      <c r="M136" s="113"/>
      <c r="N136" s="113"/>
      <c r="O136" s="113"/>
      <c r="P136" s="113"/>
      <c r="V136" s="52" t="str">
        <f t="shared" si="5"/>
        <v/>
      </c>
      <c r="W136" s="52"/>
      <c r="X136" s="52"/>
      <c r="Y136" s="52"/>
      <c r="Z136" s="52"/>
      <c r="AA136" s="52"/>
      <c r="AB136" s="114"/>
      <c r="AC136" s="56"/>
      <c r="AD136" s="115"/>
      <c r="AE136" s="116"/>
    </row>
    <row r="137" ht="15.75" customHeight="1">
      <c r="E137" s="112"/>
      <c r="F137" s="52" t="str">
        <f t="shared" si="6"/>
        <v/>
      </c>
      <c r="G137" s="52"/>
      <c r="H137" s="52"/>
      <c r="I137" s="52"/>
      <c r="J137" s="52"/>
      <c r="K137" s="52"/>
      <c r="L137" s="52"/>
      <c r="M137" s="113"/>
      <c r="N137" s="113"/>
      <c r="O137" s="113"/>
      <c r="P137" s="113"/>
      <c r="V137" s="52" t="str">
        <f t="shared" si="5"/>
        <v/>
      </c>
      <c r="W137" s="52"/>
      <c r="X137" s="52"/>
      <c r="Y137" s="52"/>
      <c r="Z137" s="52"/>
      <c r="AA137" s="52"/>
      <c r="AB137" s="114"/>
      <c r="AC137" s="56"/>
      <c r="AD137" s="115"/>
      <c r="AE137" s="116"/>
    </row>
    <row r="138" ht="15.75" customHeight="1">
      <c r="E138" s="112"/>
      <c r="F138" s="52" t="str">
        <f t="shared" si="6"/>
        <v/>
      </c>
      <c r="G138" s="52"/>
      <c r="H138" s="52"/>
      <c r="I138" s="52"/>
      <c r="J138" s="52"/>
      <c r="K138" s="52"/>
      <c r="L138" s="52"/>
      <c r="M138" s="113"/>
      <c r="N138" s="113"/>
      <c r="O138" s="113"/>
      <c r="P138" s="113"/>
      <c r="V138" s="52" t="str">
        <f t="shared" si="5"/>
        <v/>
      </c>
      <c r="W138" s="52"/>
      <c r="X138" s="52"/>
      <c r="Y138" s="52"/>
      <c r="Z138" s="52"/>
      <c r="AA138" s="52"/>
      <c r="AB138" s="114"/>
      <c r="AC138" s="56"/>
      <c r="AD138" s="115"/>
      <c r="AE138" s="116"/>
    </row>
    <row r="139" ht="15.75" customHeight="1">
      <c r="E139" s="112"/>
      <c r="F139" s="52" t="str">
        <f t="shared" si="6"/>
        <v/>
      </c>
      <c r="G139" s="52"/>
      <c r="H139" s="52"/>
      <c r="I139" s="52"/>
      <c r="J139" s="52"/>
      <c r="K139" s="52"/>
      <c r="L139" s="52"/>
      <c r="M139" s="113"/>
      <c r="N139" s="113"/>
      <c r="O139" s="113"/>
      <c r="P139" s="113"/>
      <c r="V139" s="52" t="str">
        <f t="shared" si="5"/>
        <v/>
      </c>
      <c r="W139" s="52"/>
      <c r="X139" s="52"/>
      <c r="Y139" s="52"/>
      <c r="Z139" s="52"/>
      <c r="AA139" s="52"/>
      <c r="AB139" s="114"/>
      <c r="AC139" s="56"/>
      <c r="AD139" s="115"/>
      <c r="AE139" s="116"/>
    </row>
    <row r="140" ht="15.75" customHeight="1">
      <c r="E140" s="112"/>
      <c r="F140" s="52" t="str">
        <f t="shared" si="6"/>
        <v/>
      </c>
      <c r="G140" s="52"/>
      <c r="H140" s="52"/>
      <c r="I140" s="52"/>
      <c r="J140" s="52"/>
      <c r="K140" s="52"/>
      <c r="L140" s="52"/>
      <c r="M140" s="113"/>
      <c r="N140" s="113"/>
      <c r="O140" s="113"/>
      <c r="P140" s="113"/>
      <c r="V140" s="52" t="str">
        <f t="shared" si="5"/>
        <v/>
      </c>
      <c r="W140" s="52"/>
      <c r="X140" s="52"/>
      <c r="Y140" s="52"/>
      <c r="Z140" s="52"/>
      <c r="AA140" s="52"/>
      <c r="AB140" s="114"/>
      <c r="AC140" s="56"/>
      <c r="AD140" s="115"/>
      <c r="AE140" s="116"/>
    </row>
    <row r="141" ht="15.75" customHeight="1">
      <c r="E141" s="112"/>
      <c r="F141" s="52" t="str">
        <f t="shared" si="6"/>
        <v/>
      </c>
      <c r="G141" s="52"/>
      <c r="H141" s="52"/>
      <c r="I141" s="52"/>
      <c r="J141" s="52"/>
      <c r="K141" s="52"/>
      <c r="L141" s="52"/>
      <c r="M141" s="113"/>
      <c r="N141" s="113"/>
      <c r="O141" s="113"/>
      <c r="P141" s="113"/>
      <c r="V141" s="52" t="str">
        <f t="shared" si="5"/>
        <v/>
      </c>
      <c r="W141" s="52"/>
      <c r="X141" s="52"/>
      <c r="Y141" s="52"/>
      <c r="Z141" s="52"/>
      <c r="AA141" s="52"/>
      <c r="AB141" s="114"/>
      <c r="AC141" s="56"/>
      <c r="AD141" s="115"/>
      <c r="AE141" s="116"/>
    </row>
    <row r="142" ht="15.75" customHeight="1">
      <c r="E142" s="112"/>
      <c r="F142" s="52" t="str">
        <f t="shared" si="6"/>
        <v/>
      </c>
      <c r="G142" s="52"/>
      <c r="H142" s="52"/>
      <c r="I142" s="52"/>
      <c r="J142" s="52"/>
      <c r="K142" s="52"/>
      <c r="L142" s="52"/>
      <c r="M142" s="113"/>
      <c r="N142" s="113"/>
      <c r="O142" s="113"/>
      <c r="P142" s="113"/>
      <c r="V142" s="52" t="str">
        <f t="shared" si="5"/>
        <v/>
      </c>
      <c r="W142" s="52"/>
      <c r="X142" s="52"/>
      <c r="Y142" s="52"/>
      <c r="Z142" s="52"/>
      <c r="AA142" s="52"/>
      <c r="AB142" s="114"/>
      <c r="AC142" s="56"/>
      <c r="AD142" s="115"/>
      <c r="AE142" s="116"/>
    </row>
    <row r="143" ht="15.75" customHeight="1">
      <c r="E143" s="112"/>
      <c r="F143" s="52" t="str">
        <f t="shared" si="6"/>
        <v/>
      </c>
      <c r="G143" s="52"/>
      <c r="H143" s="52"/>
      <c r="I143" s="52"/>
      <c r="J143" s="52"/>
      <c r="K143" s="52"/>
      <c r="L143" s="52"/>
      <c r="M143" s="113"/>
      <c r="N143" s="113"/>
      <c r="O143" s="113"/>
      <c r="P143" s="113"/>
      <c r="V143" s="52" t="str">
        <f t="shared" si="5"/>
        <v/>
      </c>
      <c r="W143" s="52"/>
      <c r="X143" s="52"/>
      <c r="Y143" s="52"/>
      <c r="Z143" s="52"/>
      <c r="AA143" s="52"/>
      <c r="AB143" s="114"/>
      <c r="AC143" s="56"/>
      <c r="AD143" s="115"/>
      <c r="AE143" s="116"/>
    </row>
    <row r="144" ht="15.75" customHeight="1">
      <c r="E144" s="112"/>
      <c r="F144" s="52" t="str">
        <f t="shared" si="6"/>
        <v/>
      </c>
      <c r="G144" s="52"/>
      <c r="H144" s="52"/>
      <c r="I144" s="52"/>
      <c r="J144" s="52"/>
      <c r="K144" s="52"/>
      <c r="L144" s="52"/>
      <c r="M144" s="113"/>
      <c r="N144" s="113"/>
      <c r="O144" s="113"/>
      <c r="P144" s="113"/>
      <c r="V144" s="52" t="str">
        <f t="shared" si="5"/>
        <v/>
      </c>
      <c r="W144" s="52"/>
      <c r="X144" s="52"/>
      <c r="Y144" s="52"/>
      <c r="Z144" s="52"/>
      <c r="AA144" s="52"/>
      <c r="AB144" s="114"/>
      <c r="AC144" s="56"/>
      <c r="AD144" s="115"/>
      <c r="AE144" s="116"/>
    </row>
    <row r="145" ht="15.75" customHeight="1">
      <c r="E145" s="112"/>
      <c r="F145" s="52" t="str">
        <f t="shared" si="6"/>
        <v/>
      </c>
      <c r="G145" s="52"/>
      <c r="H145" s="52"/>
      <c r="I145" s="52"/>
      <c r="J145" s="52"/>
      <c r="K145" s="52"/>
      <c r="L145" s="52"/>
      <c r="M145" s="113"/>
      <c r="N145" s="113"/>
      <c r="O145" s="113"/>
      <c r="P145" s="113"/>
      <c r="V145" s="52" t="str">
        <f t="shared" si="5"/>
        <v/>
      </c>
      <c r="W145" s="52"/>
      <c r="X145" s="52"/>
      <c r="Y145" s="52"/>
      <c r="Z145" s="52"/>
      <c r="AA145" s="52"/>
      <c r="AB145" s="114"/>
      <c r="AC145" s="56"/>
      <c r="AD145" s="115"/>
      <c r="AE145" s="116"/>
    </row>
    <row r="146" ht="15.75" customHeight="1">
      <c r="E146" s="112"/>
      <c r="F146" s="52" t="str">
        <f t="shared" si="6"/>
        <v/>
      </c>
      <c r="G146" s="52"/>
      <c r="H146" s="52"/>
      <c r="I146" s="52"/>
      <c r="J146" s="52"/>
      <c r="K146" s="52"/>
      <c r="L146" s="52"/>
      <c r="M146" s="113"/>
      <c r="N146" s="113"/>
      <c r="O146" s="113"/>
      <c r="P146" s="113"/>
      <c r="V146" s="52" t="str">
        <f t="shared" si="5"/>
        <v/>
      </c>
      <c r="W146" s="52"/>
      <c r="X146" s="52"/>
      <c r="Y146" s="52"/>
      <c r="Z146" s="52"/>
      <c r="AA146" s="52"/>
      <c r="AB146" s="114"/>
      <c r="AC146" s="56"/>
      <c r="AD146" s="115"/>
      <c r="AE146" s="116"/>
    </row>
    <row r="147" ht="15.75" customHeight="1">
      <c r="E147" s="112"/>
      <c r="F147" s="52" t="str">
        <f t="shared" si="6"/>
        <v/>
      </c>
      <c r="G147" s="52"/>
      <c r="H147" s="52"/>
      <c r="I147" s="52"/>
      <c r="J147" s="52"/>
      <c r="K147" s="52"/>
      <c r="L147" s="52"/>
      <c r="M147" s="113"/>
      <c r="N147" s="113"/>
      <c r="O147" s="113"/>
      <c r="P147" s="113"/>
      <c r="V147" s="52" t="str">
        <f t="shared" si="5"/>
        <v/>
      </c>
      <c r="W147" s="52"/>
      <c r="X147" s="52"/>
      <c r="Y147" s="52"/>
      <c r="Z147" s="52"/>
      <c r="AA147" s="52"/>
      <c r="AB147" s="114"/>
      <c r="AC147" s="56"/>
      <c r="AD147" s="115"/>
      <c r="AE147" s="116"/>
    </row>
    <row r="148" ht="15.75" customHeight="1">
      <c r="E148" s="112"/>
      <c r="F148" s="52" t="str">
        <f t="shared" si="6"/>
        <v/>
      </c>
      <c r="G148" s="52"/>
      <c r="H148" s="52"/>
      <c r="I148" s="52"/>
      <c r="J148" s="52"/>
      <c r="K148" s="52"/>
      <c r="L148" s="52"/>
      <c r="M148" s="113"/>
      <c r="N148" s="113"/>
      <c r="O148" s="113"/>
      <c r="P148" s="113"/>
      <c r="V148" s="52" t="str">
        <f t="shared" si="5"/>
        <v/>
      </c>
      <c r="W148" s="52"/>
      <c r="X148" s="52"/>
      <c r="Y148" s="52"/>
      <c r="Z148" s="52"/>
      <c r="AA148" s="52"/>
      <c r="AB148" s="114"/>
      <c r="AC148" s="56"/>
      <c r="AD148" s="115"/>
      <c r="AE148" s="116"/>
    </row>
    <row r="149" ht="15.75" customHeight="1">
      <c r="E149" s="112"/>
      <c r="F149" s="52" t="str">
        <f t="shared" si="6"/>
        <v/>
      </c>
      <c r="G149" s="52"/>
      <c r="H149" s="52"/>
      <c r="I149" s="52"/>
      <c r="J149" s="52"/>
      <c r="K149" s="52"/>
      <c r="L149" s="52"/>
      <c r="M149" s="113"/>
      <c r="N149" s="113"/>
      <c r="O149" s="113"/>
      <c r="P149" s="113"/>
      <c r="V149" s="52" t="str">
        <f t="shared" si="5"/>
        <v/>
      </c>
      <c r="W149" s="52"/>
      <c r="X149" s="52"/>
      <c r="Y149" s="52"/>
      <c r="Z149" s="52"/>
      <c r="AA149" s="52"/>
      <c r="AB149" s="114"/>
      <c r="AC149" s="56"/>
      <c r="AD149" s="115"/>
      <c r="AE149" s="116"/>
    </row>
    <row r="150" ht="15.75" customHeight="1">
      <c r="E150" s="112"/>
      <c r="F150" s="52" t="str">
        <f t="shared" si="6"/>
        <v/>
      </c>
      <c r="G150" s="52"/>
      <c r="H150" s="52"/>
      <c r="I150" s="52"/>
      <c r="J150" s="52"/>
      <c r="K150" s="52"/>
      <c r="L150" s="52"/>
      <c r="M150" s="113"/>
      <c r="N150" s="113"/>
      <c r="O150" s="113"/>
      <c r="P150" s="113"/>
      <c r="V150" s="52" t="str">
        <f t="shared" si="5"/>
        <v/>
      </c>
      <c r="W150" s="52"/>
      <c r="X150" s="52"/>
      <c r="Y150" s="52"/>
      <c r="Z150" s="52"/>
      <c r="AA150" s="52"/>
      <c r="AB150" s="114"/>
      <c r="AC150" s="56"/>
      <c r="AD150" s="115"/>
      <c r="AE150" s="116"/>
    </row>
    <row r="151" ht="15.75" customHeight="1">
      <c r="E151" s="112"/>
      <c r="F151" s="52" t="str">
        <f t="shared" si="6"/>
        <v/>
      </c>
      <c r="G151" s="52"/>
      <c r="H151" s="52"/>
      <c r="I151" s="52"/>
      <c r="J151" s="52"/>
      <c r="K151" s="52"/>
      <c r="L151" s="52"/>
      <c r="M151" s="113"/>
      <c r="N151" s="113"/>
      <c r="O151" s="113"/>
      <c r="P151" s="113"/>
      <c r="V151" s="52" t="str">
        <f t="shared" si="5"/>
        <v/>
      </c>
      <c r="W151" s="52"/>
      <c r="X151" s="52"/>
      <c r="Y151" s="52"/>
      <c r="Z151" s="52"/>
      <c r="AA151" s="52"/>
      <c r="AB151" s="114"/>
      <c r="AC151" s="56"/>
      <c r="AD151" s="115"/>
      <c r="AE151" s="116"/>
    </row>
    <row r="152" ht="15.75" customHeight="1">
      <c r="E152" s="112"/>
      <c r="F152" s="52" t="str">
        <f t="shared" si="6"/>
        <v/>
      </c>
      <c r="G152" s="52"/>
      <c r="H152" s="52"/>
      <c r="I152" s="52"/>
      <c r="J152" s="52"/>
      <c r="K152" s="52"/>
      <c r="L152" s="52"/>
      <c r="M152" s="113"/>
      <c r="N152" s="113"/>
      <c r="O152" s="113"/>
      <c r="P152" s="113"/>
      <c r="V152" s="52" t="str">
        <f t="shared" si="5"/>
        <v/>
      </c>
      <c r="W152" s="52"/>
      <c r="X152" s="52"/>
      <c r="Y152" s="52"/>
      <c r="Z152" s="52"/>
      <c r="AA152" s="52"/>
      <c r="AB152" s="114"/>
      <c r="AC152" s="56"/>
      <c r="AD152" s="115"/>
      <c r="AE152" s="116"/>
    </row>
    <row r="153" ht="15.75" customHeight="1">
      <c r="E153" s="112"/>
      <c r="F153" s="52" t="str">
        <f t="shared" si="6"/>
        <v/>
      </c>
      <c r="G153" s="52"/>
      <c r="H153" s="52"/>
      <c r="I153" s="52"/>
      <c r="J153" s="52"/>
      <c r="K153" s="52"/>
      <c r="L153" s="52"/>
      <c r="M153" s="113"/>
      <c r="N153" s="113"/>
      <c r="O153" s="113"/>
      <c r="P153" s="113"/>
      <c r="V153" s="52" t="str">
        <f t="shared" si="5"/>
        <v/>
      </c>
      <c r="W153" s="52"/>
      <c r="X153" s="52"/>
      <c r="Y153" s="52"/>
      <c r="Z153" s="52"/>
      <c r="AA153" s="52"/>
      <c r="AB153" s="114"/>
      <c r="AC153" s="56"/>
      <c r="AD153" s="115"/>
      <c r="AE153" s="116"/>
    </row>
    <row r="154" ht="15.75" customHeight="1">
      <c r="E154" s="112"/>
      <c r="F154" s="52" t="str">
        <f t="shared" si="6"/>
        <v/>
      </c>
      <c r="G154" s="52"/>
      <c r="H154" s="52"/>
      <c r="I154" s="52"/>
      <c r="J154" s="52"/>
      <c r="K154" s="52"/>
      <c r="L154" s="52"/>
      <c r="M154" s="113"/>
      <c r="N154" s="113"/>
      <c r="O154" s="113"/>
      <c r="P154" s="113"/>
      <c r="V154" s="52" t="str">
        <f t="shared" si="5"/>
        <v/>
      </c>
      <c r="W154" s="52"/>
      <c r="X154" s="52"/>
      <c r="Y154" s="52"/>
      <c r="Z154" s="52"/>
      <c r="AA154" s="52"/>
      <c r="AB154" s="114"/>
      <c r="AC154" s="56"/>
      <c r="AD154" s="115"/>
      <c r="AE154" s="116"/>
    </row>
    <row r="155" ht="15.75" customHeight="1">
      <c r="E155" s="112"/>
      <c r="F155" s="52" t="str">
        <f t="shared" si="6"/>
        <v/>
      </c>
      <c r="G155" s="52"/>
      <c r="H155" s="52"/>
      <c r="I155" s="52"/>
      <c r="J155" s="52"/>
      <c r="K155" s="52"/>
      <c r="L155" s="52"/>
      <c r="M155" s="113"/>
      <c r="N155" s="113"/>
      <c r="O155" s="113"/>
      <c r="P155" s="113"/>
      <c r="V155" s="52" t="str">
        <f t="shared" si="5"/>
        <v/>
      </c>
      <c r="W155" s="52"/>
      <c r="X155" s="52"/>
      <c r="Y155" s="52"/>
      <c r="Z155" s="52"/>
      <c r="AA155" s="52"/>
      <c r="AB155" s="114"/>
      <c r="AC155" s="56"/>
      <c r="AD155" s="115"/>
      <c r="AE155" s="116"/>
    </row>
    <row r="156" ht="15.75" customHeight="1">
      <c r="E156" s="112"/>
      <c r="F156" s="52" t="str">
        <f t="shared" si="6"/>
        <v/>
      </c>
      <c r="G156" s="52"/>
      <c r="H156" s="52"/>
      <c r="I156" s="52"/>
      <c r="J156" s="52"/>
      <c r="K156" s="52"/>
      <c r="L156" s="52"/>
      <c r="M156" s="113"/>
      <c r="N156" s="113"/>
      <c r="O156" s="113"/>
      <c r="P156" s="113"/>
      <c r="V156" s="52" t="str">
        <f t="shared" si="5"/>
        <v/>
      </c>
      <c r="W156" s="52"/>
      <c r="X156" s="52"/>
      <c r="Y156" s="52"/>
      <c r="Z156" s="52"/>
      <c r="AA156" s="52"/>
      <c r="AB156" s="114"/>
      <c r="AC156" s="56"/>
      <c r="AD156" s="115"/>
      <c r="AE156" s="116"/>
    </row>
    <row r="157" ht="15.75" customHeight="1">
      <c r="E157" s="112"/>
      <c r="F157" s="52" t="str">
        <f t="shared" si="6"/>
        <v/>
      </c>
      <c r="G157" s="52"/>
      <c r="H157" s="52"/>
      <c r="I157" s="52"/>
      <c r="J157" s="52"/>
      <c r="K157" s="52"/>
      <c r="L157" s="52"/>
      <c r="M157" s="113"/>
      <c r="N157" s="113"/>
      <c r="O157" s="113"/>
      <c r="P157" s="113"/>
      <c r="V157" s="52" t="str">
        <f t="shared" si="5"/>
        <v/>
      </c>
      <c r="W157" s="52"/>
      <c r="X157" s="52"/>
      <c r="Y157" s="52"/>
      <c r="Z157" s="52"/>
      <c r="AA157" s="52"/>
      <c r="AB157" s="114"/>
      <c r="AC157" s="56"/>
      <c r="AD157" s="115"/>
      <c r="AE157" s="116"/>
    </row>
    <row r="158" ht="15.75" customHeight="1">
      <c r="E158" s="112"/>
      <c r="F158" s="52" t="str">
        <f t="shared" si="6"/>
        <v/>
      </c>
      <c r="G158" s="52"/>
      <c r="H158" s="52"/>
      <c r="I158" s="52"/>
      <c r="J158" s="52"/>
      <c r="K158" s="52"/>
      <c r="L158" s="52"/>
      <c r="M158" s="113"/>
      <c r="N158" s="113"/>
      <c r="O158" s="113"/>
      <c r="P158" s="113"/>
      <c r="V158" s="52" t="str">
        <f t="shared" si="5"/>
        <v/>
      </c>
      <c r="W158" s="52"/>
      <c r="X158" s="52"/>
      <c r="Y158" s="52"/>
      <c r="Z158" s="52"/>
      <c r="AA158" s="52"/>
      <c r="AB158" s="114"/>
      <c r="AC158" s="56"/>
      <c r="AD158" s="115"/>
      <c r="AE158" s="116"/>
    </row>
    <row r="159" ht="15.75" customHeight="1">
      <c r="E159" s="112"/>
      <c r="F159" s="52" t="str">
        <f t="shared" si="6"/>
        <v/>
      </c>
      <c r="G159" s="52"/>
      <c r="H159" s="52"/>
      <c r="I159" s="52"/>
      <c r="J159" s="52"/>
      <c r="K159" s="52"/>
      <c r="L159" s="52"/>
      <c r="M159" s="113"/>
      <c r="N159" s="113"/>
      <c r="O159" s="113"/>
      <c r="P159" s="113"/>
      <c r="V159" s="52" t="str">
        <f t="shared" si="5"/>
        <v/>
      </c>
      <c r="W159" s="52"/>
      <c r="X159" s="52"/>
      <c r="Y159" s="52"/>
      <c r="Z159" s="52"/>
      <c r="AA159" s="52"/>
      <c r="AB159" s="114"/>
      <c r="AC159" s="56"/>
      <c r="AD159" s="115"/>
      <c r="AE159" s="116"/>
    </row>
    <row r="160" ht="15.75" customHeight="1">
      <c r="E160" s="112"/>
      <c r="F160" s="52" t="str">
        <f t="shared" si="6"/>
        <v/>
      </c>
      <c r="G160" s="52"/>
      <c r="H160" s="52"/>
      <c r="I160" s="52"/>
      <c r="J160" s="52"/>
      <c r="K160" s="52"/>
      <c r="L160" s="52"/>
      <c r="M160" s="113"/>
      <c r="N160" s="113"/>
      <c r="O160" s="113"/>
      <c r="P160" s="113"/>
      <c r="V160" s="52" t="str">
        <f t="shared" si="5"/>
        <v/>
      </c>
      <c r="W160" s="52"/>
      <c r="X160" s="52"/>
      <c r="Y160" s="52"/>
      <c r="Z160" s="52"/>
      <c r="AA160" s="52"/>
      <c r="AB160" s="114"/>
      <c r="AC160" s="56"/>
      <c r="AD160" s="115"/>
      <c r="AE160" s="116"/>
    </row>
    <row r="161" ht="15.75" customHeight="1">
      <c r="E161" s="112"/>
      <c r="F161" s="52" t="str">
        <f t="shared" si="6"/>
        <v/>
      </c>
      <c r="G161" s="52"/>
      <c r="H161" s="52"/>
      <c r="I161" s="52"/>
      <c r="J161" s="52"/>
      <c r="K161" s="52"/>
      <c r="L161" s="52"/>
      <c r="M161" s="113"/>
      <c r="N161" s="113"/>
      <c r="O161" s="113"/>
      <c r="P161" s="113"/>
      <c r="V161" s="52" t="str">
        <f t="shared" si="5"/>
        <v/>
      </c>
      <c r="W161" s="52"/>
      <c r="X161" s="52"/>
      <c r="Y161" s="52"/>
      <c r="Z161" s="52"/>
      <c r="AA161" s="52"/>
      <c r="AB161" s="114"/>
      <c r="AC161" s="56"/>
      <c r="AD161" s="115"/>
      <c r="AE161" s="116"/>
    </row>
    <row r="162" ht="15.75" customHeight="1">
      <c r="E162" s="112"/>
      <c r="F162" s="52" t="str">
        <f t="shared" si="6"/>
        <v/>
      </c>
      <c r="G162" s="52"/>
      <c r="H162" s="52"/>
      <c r="I162" s="52"/>
      <c r="J162" s="52"/>
      <c r="K162" s="52"/>
      <c r="L162" s="52"/>
      <c r="M162" s="113"/>
      <c r="N162" s="113"/>
      <c r="O162" s="113"/>
      <c r="P162" s="113"/>
      <c r="V162" s="52" t="str">
        <f t="shared" si="5"/>
        <v/>
      </c>
      <c r="W162" s="52"/>
      <c r="X162" s="52"/>
      <c r="Y162" s="52"/>
      <c r="Z162" s="52"/>
      <c r="AA162" s="52"/>
      <c r="AB162" s="114"/>
      <c r="AC162" s="56"/>
      <c r="AD162" s="115"/>
      <c r="AE162" s="116"/>
    </row>
    <row r="163" ht="15.75" customHeight="1">
      <c r="E163" s="112"/>
      <c r="F163" s="52" t="str">
        <f t="shared" si="6"/>
        <v/>
      </c>
      <c r="G163" s="52"/>
      <c r="H163" s="52"/>
      <c r="I163" s="52"/>
      <c r="J163" s="52"/>
      <c r="K163" s="52"/>
      <c r="L163" s="52"/>
      <c r="M163" s="113"/>
      <c r="N163" s="113"/>
      <c r="O163" s="113"/>
      <c r="P163" s="113"/>
      <c r="V163" s="52" t="str">
        <f t="shared" si="5"/>
        <v/>
      </c>
      <c r="W163" s="52"/>
      <c r="X163" s="52"/>
      <c r="Y163" s="52"/>
      <c r="Z163" s="52"/>
      <c r="AA163" s="52"/>
      <c r="AB163" s="114"/>
      <c r="AC163" s="56"/>
      <c r="AD163" s="115"/>
      <c r="AE163" s="116"/>
    </row>
    <row r="164" ht="15.75" customHeight="1">
      <c r="E164" s="112"/>
      <c r="F164" s="52" t="str">
        <f t="shared" si="6"/>
        <v/>
      </c>
      <c r="G164" s="52"/>
      <c r="H164" s="52"/>
      <c r="I164" s="52"/>
      <c r="J164" s="52"/>
      <c r="K164" s="52"/>
      <c r="L164" s="52"/>
      <c r="M164" s="113"/>
      <c r="N164" s="113"/>
      <c r="O164" s="113"/>
      <c r="P164" s="113"/>
      <c r="V164" s="52" t="str">
        <f t="shared" si="5"/>
        <v/>
      </c>
      <c r="W164" s="52"/>
      <c r="X164" s="52"/>
      <c r="Y164" s="52"/>
      <c r="Z164" s="52"/>
      <c r="AA164" s="52"/>
      <c r="AB164" s="114"/>
      <c r="AC164" s="56"/>
      <c r="AD164" s="115"/>
      <c r="AE164" s="116"/>
    </row>
    <row r="165" ht="15.75" customHeight="1">
      <c r="E165" s="112"/>
      <c r="F165" s="52" t="str">
        <f t="shared" si="6"/>
        <v/>
      </c>
      <c r="G165" s="52"/>
      <c r="H165" s="52"/>
      <c r="I165" s="52"/>
      <c r="J165" s="52"/>
      <c r="K165" s="52"/>
      <c r="L165" s="52"/>
      <c r="M165" s="113"/>
      <c r="N165" s="113"/>
      <c r="O165" s="113"/>
      <c r="P165" s="113"/>
      <c r="V165" s="52" t="str">
        <f t="shared" si="5"/>
        <v/>
      </c>
      <c r="W165" s="52"/>
      <c r="X165" s="52"/>
      <c r="Y165" s="52"/>
      <c r="Z165" s="52"/>
      <c r="AA165" s="52"/>
      <c r="AB165" s="114"/>
      <c r="AC165" s="56"/>
      <c r="AD165" s="115"/>
      <c r="AE165" s="116"/>
    </row>
    <row r="166" ht="15.75" customHeight="1">
      <c r="E166" s="112"/>
      <c r="F166" s="52" t="str">
        <f t="shared" si="6"/>
        <v/>
      </c>
      <c r="G166" s="52"/>
      <c r="H166" s="52"/>
      <c r="I166" s="52"/>
      <c r="J166" s="52"/>
      <c r="K166" s="52"/>
      <c r="L166" s="52"/>
      <c r="M166" s="113"/>
      <c r="N166" s="113"/>
      <c r="O166" s="113"/>
      <c r="P166" s="113"/>
      <c r="V166" s="52" t="str">
        <f t="shared" si="5"/>
        <v/>
      </c>
      <c r="W166" s="52"/>
      <c r="X166" s="52"/>
      <c r="Y166" s="52"/>
      <c r="Z166" s="52"/>
      <c r="AA166" s="52"/>
      <c r="AB166" s="114"/>
      <c r="AC166" s="56"/>
      <c r="AD166" s="115"/>
      <c r="AE166" s="116"/>
    </row>
    <row r="167" ht="15.75" customHeight="1">
      <c r="E167" s="112"/>
      <c r="F167" s="52" t="str">
        <f t="shared" si="6"/>
        <v/>
      </c>
      <c r="G167" s="52"/>
      <c r="H167" s="52"/>
      <c r="I167" s="52"/>
      <c r="J167" s="52"/>
      <c r="K167" s="52"/>
      <c r="L167" s="52"/>
      <c r="M167" s="113"/>
      <c r="N167" s="113"/>
      <c r="O167" s="113"/>
      <c r="P167" s="113"/>
      <c r="V167" s="52" t="str">
        <f t="shared" si="5"/>
        <v/>
      </c>
      <c r="W167" s="52"/>
      <c r="X167" s="52"/>
      <c r="Y167" s="52"/>
      <c r="Z167" s="52"/>
      <c r="AA167" s="52"/>
      <c r="AB167" s="114"/>
      <c r="AC167" s="56"/>
      <c r="AD167" s="115"/>
      <c r="AE167" s="116"/>
    </row>
    <row r="168" ht="15.75" customHeight="1">
      <c r="E168" s="112"/>
      <c r="F168" s="52" t="str">
        <f t="shared" si="6"/>
        <v/>
      </c>
      <c r="G168" s="52"/>
      <c r="H168" s="52"/>
      <c r="I168" s="52"/>
      <c r="J168" s="52"/>
      <c r="K168" s="52"/>
      <c r="L168" s="52"/>
      <c r="M168" s="113"/>
      <c r="N168" s="113"/>
      <c r="O168" s="113"/>
      <c r="P168" s="113"/>
      <c r="V168" s="52" t="str">
        <f t="shared" si="5"/>
        <v/>
      </c>
      <c r="W168" s="52"/>
      <c r="X168" s="52"/>
      <c r="Y168" s="52"/>
      <c r="Z168" s="52"/>
      <c r="AA168" s="52"/>
      <c r="AB168" s="114"/>
      <c r="AC168" s="56"/>
      <c r="AD168" s="115"/>
      <c r="AE168" s="116"/>
    </row>
    <row r="169" ht="15.75" customHeight="1">
      <c r="E169" s="112"/>
      <c r="F169" s="52" t="str">
        <f t="shared" si="6"/>
        <v/>
      </c>
      <c r="G169" s="52"/>
      <c r="H169" s="52"/>
      <c r="I169" s="52"/>
      <c r="J169" s="52"/>
      <c r="K169" s="52"/>
      <c r="L169" s="52"/>
      <c r="M169" s="113"/>
      <c r="N169" s="113"/>
      <c r="O169" s="113"/>
      <c r="P169" s="113"/>
      <c r="V169" s="52" t="str">
        <f t="shared" si="5"/>
        <v/>
      </c>
      <c r="W169" s="52"/>
      <c r="X169" s="52"/>
      <c r="Y169" s="52"/>
      <c r="Z169" s="52"/>
      <c r="AA169" s="52"/>
      <c r="AB169" s="114"/>
      <c r="AC169" s="56"/>
      <c r="AD169" s="115"/>
      <c r="AE169" s="116"/>
    </row>
    <row r="170" ht="15.75" customHeight="1">
      <c r="E170" s="112"/>
      <c r="F170" s="52" t="str">
        <f t="shared" si="6"/>
        <v/>
      </c>
      <c r="G170" s="52"/>
      <c r="H170" s="52"/>
      <c r="I170" s="52"/>
      <c r="J170" s="52"/>
      <c r="K170" s="52"/>
      <c r="L170" s="52"/>
      <c r="M170" s="113"/>
      <c r="N170" s="113"/>
      <c r="O170" s="113"/>
      <c r="P170" s="113"/>
      <c r="V170" s="52" t="str">
        <f t="shared" si="5"/>
        <v/>
      </c>
      <c r="W170" s="52"/>
      <c r="X170" s="52"/>
      <c r="Y170" s="52"/>
      <c r="Z170" s="52"/>
      <c r="AA170" s="52"/>
      <c r="AB170" s="114"/>
      <c r="AC170" s="56"/>
      <c r="AD170" s="115"/>
      <c r="AE170" s="116"/>
    </row>
    <row r="171" ht="15.75" customHeight="1">
      <c r="E171" s="112"/>
      <c r="F171" s="52" t="str">
        <f t="shared" si="6"/>
        <v/>
      </c>
      <c r="G171" s="52"/>
      <c r="H171" s="52"/>
      <c r="I171" s="52"/>
      <c r="J171" s="52"/>
      <c r="K171" s="52"/>
      <c r="L171" s="52"/>
      <c r="M171" s="113"/>
      <c r="N171" s="113"/>
      <c r="O171" s="113"/>
      <c r="P171" s="113"/>
      <c r="V171" s="52" t="str">
        <f t="shared" si="5"/>
        <v/>
      </c>
      <c r="W171" s="52"/>
      <c r="X171" s="52"/>
      <c r="Y171" s="52"/>
      <c r="Z171" s="52"/>
      <c r="AA171" s="52"/>
      <c r="AB171" s="114"/>
      <c r="AC171" s="56"/>
      <c r="AD171" s="115"/>
      <c r="AE171" s="116"/>
    </row>
    <row r="172" ht="15.75" customHeight="1">
      <c r="E172" s="112"/>
      <c r="F172" s="52" t="str">
        <f t="shared" si="6"/>
        <v/>
      </c>
      <c r="G172" s="52"/>
      <c r="H172" s="52"/>
      <c r="I172" s="52"/>
      <c r="J172" s="52"/>
      <c r="K172" s="52"/>
      <c r="L172" s="52"/>
      <c r="M172" s="113"/>
      <c r="N172" s="113"/>
      <c r="O172" s="113"/>
      <c r="P172" s="113"/>
      <c r="V172" s="52" t="str">
        <f t="shared" si="5"/>
        <v/>
      </c>
      <c r="W172" s="52"/>
      <c r="X172" s="52"/>
      <c r="Y172" s="52"/>
      <c r="Z172" s="52"/>
      <c r="AA172" s="52"/>
      <c r="AB172" s="114"/>
      <c r="AC172" s="56"/>
      <c r="AD172" s="115"/>
      <c r="AE172" s="116"/>
    </row>
    <row r="173" ht="15.75" customHeight="1">
      <c r="E173" s="112"/>
      <c r="F173" s="52" t="str">
        <f t="shared" si="6"/>
        <v/>
      </c>
      <c r="G173" s="52"/>
      <c r="H173" s="52"/>
      <c r="I173" s="52"/>
      <c r="J173" s="52"/>
      <c r="K173" s="52"/>
      <c r="L173" s="52"/>
      <c r="M173" s="113"/>
      <c r="N173" s="113"/>
      <c r="O173" s="113"/>
      <c r="P173" s="113"/>
      <c r="V173" s="52" t="str">
        <f t="shared" si="5"/>
        <v/>
      </c>
      <c r="W173" s="52"/>
      <c r="X173" s="52"/>
      <c r="Y173" s="52"/>
      <c r="Z173" s="52"/>
      <c r="AA173" s="52"/>
      <c r="AB173" s="114"/>
      <c r="AC173" s="56"/>
      <c r="AD173" s="115"/>
      <c r="AE173" s="116"/>
    </row>
    <row r="174" ht="15.75" customHeight="1">
      <c r="E174" s="112"/>
      <c r="F174" s="52" t="str">
        <f t="shared" si="6"/>
        <v/>
      </c>
      <c r="G174" s="52"/>
      <c r="H174" s="52"/>
      <c r="I174" s="52"/>
      <c r="J174" s="52"/>
      <c r="K174" s="52"/>
      <c r="L174" s="52"/>
      <c r="M174" s="113"/>
      <c r="N174" s="113"/>
      <c r="O174" s="113"/>
      <c r="P174" s="113"/>
      <c r="V174" s="52" t="str">
        <f t="shared" si="5"/>
        <v/>
      </c>
      <c r="W174" s="52"/>
      <c r="X174" s="52"/>
      <c r="Y174" s="52"/>
      <c r="Z174" s="52"/>
      <c r="AA174" s="52"/>
      <c r="AB174" s="114"/>
      <c r="AC174" s="56"/>
      <c r="AD174" s="115"/>
      <c r="AE174" s="116"/>
    </row>
    <row r="175" ht="15.75" customHeight="1">
      <c r="E175" s="112"/>
      <c r="F175" s="52" t="str">
        <f t="shared" si="6"/>
        <v/>
      </c>
      <c r="G175" s="52"/>
      <c r="H175" s="52"/>
      <c r="I175" s="52"/>
      <c r="J175" s="52"/>
      <c r="K175" s="52"/>
      <c r="L175" s="52"/>
      <c r="M175" s="113"/>
      <c r="N175" s="113"/>
      <c r="O175" s="113"/>
      <c r="P175" s="113"/>
      <c r="V175" s="52" t="str">
        <f t="shared" si="5"/>
        <v/>
      </c>
      <c r="W175" s="52"/>
      <c r="X175" s="52"/>
      <c r="Y175" s="52"/>
      <c r="Z175" s="52"/>
      <c r="AA175" s="52"/>
      <c r="AB175" s="114"/>
      <c r="AC175" s="56"/>
      <c r="AD175" s="115"/>
      <c r="AE175" s="116"/>
    </row>
    <row r="176" ht="15.75" customHeight="1">
      <c r="E176" s="112"/>
      <c r="F176" s="52" t="str">
        <f t="shared" si="6"/>
        <v/>
      </c>
      <c r="G176" s="52"/>
      <c r="H176" s="52"/>
      <c r="I176" s="52"/>
      <c r="J176" s="52"/>
      <c r="K176" s="52"/>
      <c r="L176" s="52"/>
      <c r="M176" s="113"/>
      <c r="N176" s="113"/>
      <c r="O176" s="113"/>
      <c r="P176" s="113"/>
      <c r="V176" s="52" t="str">
        <f t="shared" si="5"/>
        <v/>
      </c>
      <c r="W176" s="52"/>
      <c r="X176" s="52"/>
      <c r="Y176" s="52"/>
      <c r="Z176" s="52"/>
      <c r="AA176" s="52"/>
      <c r="AB176" s="114"/>
      <c r="AC176" s="56"/>
      <c r="AD176" s="115"/>
      <c r="AE176" s="116"/>
    </row>
    <row r="177" ht="15.75" customHeight="1">
      <c r="E177" s="112"/>
      <c r="F177" s="52" t="str">
        <f t="shared" si="6"/>
        <v/>
      </c>
      <c r="G177" s="52"/>
      <c r="H177" s="52"/>
      <c r="I177" s="52"/>
      <c r="J177" s="52"/>
      <c r="K177" s="52"/>
      <c r="L177" s="52"/>
      <c r="M177" s="113"/>
      <c r="N177" s="113"/>
      <c r="O177" s="113"/>
      <c r="P177" s="113"/>
      <c r="V177" s="52" t="str">
        <f t="shared" si="5"/>
        <v/>
      </c>
      <c r="W177" s="52"/>
      <c r="X177" s="52"/>
      <c r="Y177" s="52"/>
      <c r="Z177" s="52"/>
      <c r="AA177" s="52"/>
      <c r="AB177" s="114"/>
      <c r="AC177" s="56"/>
      <c r="AD177" s="115"/>
      <c r="AE177" s="116"/>
    </row>
    <row r="178" ht="15.75" customHeight="1">
      <c r="E178" s="112"/>
      <c r="F178" s="52" t="str">
        <f t="shared" si="6"/>
        <v/>
      </c>
      <c r="G178" s="52"/>
      <c r="H178" s="52"/>
      <c r="I178" s="52"/>
      <c r="J178" s="52"/>
      <c r="K178" s="52"/>
      <c r="L178" s="52"/>
      <c r="M178" s="113"/>
      <c r="N178" s="113"/>
      <c r="O178" s="113"/>
      <c r="P178" s="113"/>
      <c r="V178" s="52" t="str">
        <f t="shared" si="5"/>
        <v/>
      </c>
      <c r="W178" s="52"/>
      <c r="X178" s="52"/>
      <c r="Y178" s="52"/>
      <c r="Z178" s="52"/>
      <c r="AA178" s="52"/>
      <c r="AB178" s="114"/>
      <c r="AC178" s="56"/>
      <c r="AD178" s="115"/>
      <c r="AE178" s="116"/>
    </row>
    <row r="179" ht="15.75" customHeight="1">
      <c r="E179" s="112"/>
      <c r="F179" s="52" t="str">
        <f t="shared" si="6"/>
        <v/>
      </c>
      <c r="G179" s="52"/>
      <c r="H179" s="52"/>
      <c r="I179" s="52"/>
      <c r="J179" s="52"/>
      <c r="K179" s="52"/>
      <c r="L179" s="52"/>
      <c r="M179" s="113"/>
      <c r="N179" s="113"/>
      <c r="O179" s="113"/>
      <c r="P179" s="113"/>
      <c r="V179" s="52" t="str">
        <f t="shared" si="5"/>
        <v/>
      </c>
      <c r="W179" s="52"/>
      <c r="X179" s="52"/>
      <c r="Y179" s="52"/>
      <c r="Z179" s="52"/>
      <c r="AA179" s="52"/>
      <c r="AB179" s="114"/>
      <c r="AC179" s="56"/>
      <c r="AD179" s="115"/>
      <c r="AE179" s="116"/>
    </row>
    <row r="180" ht="15.75" customHeight="1">
      <c r="E180" s="112"/>
      <c r="F180" s="52" t="str">
        <f t="shared" si="6"/>
        <v/>
      </c>
      <c r="G180" s="52"/>
      <c r="H180" s="52"/>
      <c r="I180" s="52"/>
      <c r="J180" s="52"/>
      <c r="K180" s="52"/>
      <c r="L180" s="52"/>
      <c r="M180" s="113"/>
      <c r="N180" s="113"/>
      <c r="O180" s="113"/>
      <c r="P180" s="113"/>
      <c r="V180" s="52" t="str">
        <f t="shared" si="5"/>
        <v/>
      </c>
      <c r="W180" s="52"/>
      <c r="X180" s="52"/>
      <c r="Y180" s="52"/>
      <c r="Z180" s="52"/>
      <c r="AA180" s="52"/>
      <c r="AB180" s="114"/>
      <c r="AC180" s="56"/>
      <c r="AD180" s="115"/>
      <c r="AE180" s="116"/>
    </row>
    <row r="181" ht="15.75" customHeight="1">
      <c r="E181" s="112"/>
      <c r="F181" s="52" t="str">
        <f t="shared" si="6"/>
        <v/>
      </c>
      <c r="G181" s="52"/>
      <c r="H181" s="52"/>
      <c r="I181" s="52"/>
      <c r="J181" s="52"/>
      <c r="K181" s="52"/>
      <c r="L181" s="52"/>
      <c r="M181" s="113"/>
      <c r="N181" s="113"/>
      <c r="O181" s="113"/>
      <c r="P181" s="113"/>
      <c r="V181" s="52" t="str">
        <f t="shared" si="5"/>
        <v/>
      </c>
      <c r="W181" s="52"/>
      <c r="X181" s="52"/>
      <c r="Y181" s="52"/>
      <c r="Z181" s="52"/>
      <c r="AA181" s="52"/>
      <c r="AB181" s="114"/>
      <c r="AC181" s="56"/>
      <c r="AD181" s="115"/>
      <c r="AE181" s="116"/>
    </row>
    <row r="182" ht="15.75" customHeight="1">
      <c r="E182" s="112"/>
      <c r="F182" s="52" t="str">
        <f t="shared" si="6"/>
        <v/>
      </c>
      <c r="G182" s="52"/>
      <c r="H182" s="52"/>
      <c r="I182" s="52"/>
      <c r="J182" s="52"/>
      <c r="K182" s="52"/>
      <c r="L182" s="52"/>
      <c r="M182" s="113"/>
      <c r="N182" s="113"/>
      <c r="O182" s="113"/>
      <c r="P182" s="113"/>
      <c r="V182" s="52" t="str">
        <f t="shared" si="5"/>
        <v/>
      </c>
      <c r="W182" s="52"/>
      <c r="X182" s="52"/>
      <c r="Y182" s="52"/>
      <c r="Z182" s="52"/>
      <c r="AA182" s="52"/>
      <c r="AB182" s="114"/>
      <c r="AC182" s="56"/>
      <c r="AD182" s="115"/>
      <c r="AE182" s="116"/>
    </row>
    <row r="183" ht="15.75" customHeight="1">
      <c r="E183" s="112"/>
      <c r="F183" s="52" t="str">
        <f t="shared" si="6"/>
        <v/>
      </c>
      <c r="G183" s="52"/>
      <c r="H183" s="52"/>
      <c r="I183" s="52"/>
      <c r="J183" s="52"/>
      <c r="K183" s="52"/>
      <c r="L183" s="52"/>
      <c r="M183" s="113"/>
      <c r="N183" s="113"/>
      <c r="O183" s="113"/>
      <c r="P183" s="113"/>
      <c r="V183" s="52" t="str">
        <f t="shared" si="5"/>
        <v/>
      </c>
      <c r="W183" s="52"/>
      <c r="X183" s="52"/>
      <c r="Y183" s="52"/>
      <c r="Z183" s="52"/>
      <c r="AA183" s="52"/>
      <c r="AB183" s="114"/>
      <c r="AC183" s="56"/>
      <c r="AD183" s="115"/>
      <c r="AE183" s="116"/>
    </row>
    <row r="184" ht="15.75" customHeight="1">
      <c r="E184" s="112"/>
      <c r="F184" s="52" t="str">
        <f t="shared" si="6"/>
        <v/>
      </c>
      <c r="G184" s="52"/>
      <c r="H184" s="52"/>
      <c r="I184" s="52"/>
      <c r="J184" s="52"/>
      <c r="K184" s="52"/>
      <c r="L184" s="52"/>
      <c r="M184" s="113"/>
      <c r="N184" s="113"/>
      <c r="O184" s="113"/>
      <c r="P184" s="113"/>
      <c r="V184" s="52" t="str">
        <f t="shared" si="5"/>
        <v/>
      </c>
      <c r="W184" s="52"/>
      <c r="X184" s="52"/>
      <c r="Y184" s="52"/>
      <c r="Z184" s="52"/>
      <c r="AA184" s="52"/>
      <c r="AB184" s="114"/>
      <c r="AC184" s="56"/>
      <c r="AD184" s="115"/>
      <c r="AE184" s="116"/>
    </row>
    <row r="185" ht="15.75" customHeight="1">
      <c r="E185" s="112"/>
      <c r="F185" s="52" t="str">
        <f t="shared" si="6"/>
        <v/>
      </c>
      <c r="G185" s="52"/>
      <c r="H185" s="52"/>
      <c r="I185" s="52"/>
      <c r="J185" s="52"/>
      <c r="K185" s="52"/>
      <c r="L185" s="52"/>
      <c r="M185" s="113"/>
      <c r="N185" s="113"/>
      <c r="O185" s="113"/>
      <c r="P185" s="113"/>
      <c r="V185" s="52" t="str">
        <f t="shared" si="5"/>
        <v/>
      </c>
      <c r="W185" s="52"/>
      <c r="X185" s="52"/>
      <c r="Y185" s="52"/>
      <c r="Z185" s="52"/>
      <c r="AA185" s="52"/>
      <c r="AB185" s="114"/>
      <c r="AC185" s="56"/>
      <c r="AD185" s="115"/>
      <c r="AE185" s="116"/>
    </row>
    <row r="186" ht="15.75" customHeight="1">
      <c r="E186" s="112"/>
      <c r="F186" s="52" t="str">
        <f t="shared" si="6"/>
        <v/>
      </c>
      <c r="G186" s="52"/>
      <c r="H186" s="52"/>
      <c r="I186" s="52"/>
      <c r="J186" s="52"/>
      <c r="K186" s="52"/>
      <c r="L186" s="52"/>
      <c r="M186" s="113"/>
      <c r="N186" s="113"/>
      <c r="O186" s="113"/>
      <c r="P186" s="113"/>
      <c r="V186" s="52" t="str">
        <f t="shared" si="5"/>
        <v/>
      </c>
      <c r="W186" s="52"/>
      <c r="X186" s="52"/>
      <c r="Y186" s="52"/>
      <c r="Z186" s="52"/>
      <c r="AA186" s="52"/>
      <c r="AB186" s="114"/>
      <c r="AC186" s="56"/>
      <c r="AD186" s="115"/>
      <c r="AE186" s="116"/>
    </row>
    <row r="187" ht="15.75" customHeight="1">
      <c r="E187" s="112"/>
      <c r="F187" s="52" t="str">
        <f t="shared" si="6"/>
        <v/>
      </c>
      <c r="G187" s="52"/>
      <c r="H187" s="52"/>
      <c r="I187" s="52"/>
      <c r="J187" s="52"/>
      <c r="K187" s="52"/>
      <c r="L187" s="52"/>
      <c r="M187" s="113"/>
      <c r="N187" s="113"/>
      <c r="O187" s="113"/>
      <c r="P187" s="113"/>
      <c r="V187" s="52" t="str">
        <f t="shared" si="5"/>
        <v/>
      </c>
      <c r="W187" s="52"/>
      <c r="X187" s="52"/>
      <c r="Y187" s="52"/>
      <c r="Z187" s="52"/>
      <c r="AA187" s="52"/>
      <c r="AB187" s="114"/>
      <c r="AC187" s="56"/>
      <c r="AD187" s="115"/>
      <c r="AE187" s="116"/>
    </row>
    <row r="188" ht="15.75" customHeight="1">
      <c r="E188" s="112"/>
      <c r="F188" s="52" t="str">
        <f t="shared" si="6"/>
        <v/>
      </c>
      <c r="G188" s="52"/>
      <c r="H188" s="52"/>
      <c r="I188" s="52"/>
      <c r="J188" s="52"/>
      <c r="K188" s="52"/>
      <c r="L188" s="52"/>
      <c r="M188" s="113"/>
      <c r="N188" s="113"/>
      <c r="O188" s="113"/>
      <c r="P188" s="113"/>
      <c r="V188" s="52" t="str">
        <f t="shared" si="5"/>
        <v/>
      </c>
      <c r="W188" s="52"/>
      <c r="X188" s="52"/>
      <c r="Y188" s="52"/>
      <c r="Z188" s="52"/>
      <c r="AA188" s="52"/>
      <c r="AB188" s="114"/>
      <c r="AC188" s="56"/>
      <c r="AD188" s="115"/>
      <c r="AE188" s="116"/>
    </row>
    <row r="189" ht="15.75" customHeight="1">
      <c r="E189" s="112"/>
      <c r="F189" s="52" t="str">
        <f t="shared" si="6"/>
        <v/>
      </c>
      <c r="G189" s="52"/>
      <c r="H189" s="52"/>
      <c r="I189" s="52"/>
      <c r="J189" s="52"/>
      <c r="K189" s="52"/>
      <c r="L189" s="52"/>
      <c r="M189" s="113"/>
      <c r="N189" s="113"/>
      <c r="O189" s="113"/>
      <c r="P189" s="113"/>
      <c r="V189" s="52" t="str">
        <f t="shared" si="5"/>
        <v/>
      </c>
      <c r="W189" s="52"/>
      <c r="X189" s="52"/>
      <c r="Y189" s="52"/>
      <c r="Z189" s="52"/>
      <c r="AA189" s="52"/>
      <c r="AB189" s="114"/>
      <c r="AC189" s="56"/>
      <c r="AD189" s="115"/>
      <c r="AE189" s="116"/>
    </row>
    <row r="190" ht="15.75" customHeight="1">
      <c r="E190" s="112"/>
      <c r="F190" s="52" t="str">
        <f t="shared" si="6"/>
        <v/>
      </c>
      <c r="G190" s="52"/>
      <c r="H190" s="52"/>
      <c r="I190" s="52"/>
      <c r="J190" s="52"/>
      <c r="K190" s="52"/>
      <c r="L190" s="52"/>
      <c r="M190" s="113"/>
      <c r="N190" s="113"/>
      <c r="O190" s="113"/>
      <c r="P190" s="113"/>
      <c r="V190" s="52" t="str">
        <f t="shared" si="5"/>
        <v/>
      </c>
      <c r="W190" s="52"/>
      <c r="X190" s="52"/>
      <c r="Y190" s="52"/>
      <c r="Z190" s="52"/>
      <c r="AA190" s="52"/>
      <c r="AB190" s="114"/>
      <c r="AC190" s="56"/>
      <c r="AD190" s="115"/>
      <c r="AE190" s="116"/>
    </row>
    <row r="191" ht="15.75" customHeight="1">
      <c r="E191" s="112"/>
      <c r="F191" s="52" t="str">
        <f t="shared" si="6"/>
        <v/>
      </c>
      <c r="G191" s="52"/>
      <c r="H191" s="52"/>
      <c r="I191" s="52"/>
      <c r="J191" s="52"/>
      <c r="K191" s="52"/>
      <c r="L191" s="52"/>
      <c r="M191" s="113"/>
      <c r="N191" s="113"/>
      <c r="O191" s="113"/>
      <c r="P191" s="113"/>
      <c r="V191" s="52" t="str">
        <f t="shared" si="5"/>
        <v/>
      </c>
      <c r="W191" s="52"/>
      <c r="X191" s="52"/>
      <c r="Y191" s="52"/>
      <c r="Z191" s="52"/>
      <c r="AA191" s="52"/>
      <c r="AB191" s="114"/>
      <c r="AC191" s="56"/>
      <c r="AD191" s="115"/>
      <c r="AE191" s="116"/>
    </row>
    <row r="192" ht="15.75" customHeight="1">
      <c r="E192" s="112"/>
      <c r="F192" s="52" t="str">
        <f t="shared" si="6"/>
        <v/>
      </c>
      <c r="G192" s="52"/>
      <c r="H192" s="52"/>
      <c r="I192" s="52"/>
      <c r="J192" s="52"/>
      <c r="K192" s="52"/>
      <c r="L192" s="52"/>
      <c r="M192" s="113"/>
      <c r="N192" s="113"/>
      <c r="O192" s="113"/>
      <c r="P192" s="113"/>
      <c r="V192" s="52" t="str">
        <f t="shared" si="5"/>
        <v/>
      </c>
      <c r="W192" s="52"/>
      <c r="X192" s="52"/>
      <c r="Y192" s="52"/>
      <c r="Z192" s="52"/>
      <c r="AA192" s="52"/>
      <c r="AB192" s="114"/>
      <c r="AC192" s="56"/>
      <c r="AD192" s="115"/>
      <c r="AE192" s="116"/>
    </row>
    <row r="193" ht="15.75" customHeight="1">
      <c r="E193" s="112"/>
      <c r="F193" s="52" t="str">
        <f t="shared" si="6"/>
        <v/>
      </c>
      <c r="G193" s="52"/>
      <c r="H193" s="52"/>
      <c r="I193" s="52"/>
      <c r="J193" s="52"/>
      <c r="K193" s="52"/>
      <c r="L193" s="52"/>
      <c r="M193" s="113"/>
      <c r="N193" s="113"/>
      <c r="O193" s="113"/>
      <c r="P193" s="113"/>
      <c r="V193" s="52" t="str">
        <f t="shared" si="5"/>
        <v/>
      </c>
      <c r="W193" s="52"/>
      <c r="X193" s="52"/>
      <c r="Y193" s="52"/>
      <c r="Z193" s="52"/>
      <c r="AA193" s="52"/>
      <c r="AB193" s="114"/>
      <c r="AC193" s="56"/>
      <c r="AD193" s="115"/>
      <c r="AE193" s="116"/>
    </row>
    <row r="194" ht="15.75" customHeight="1">
      <c r="E194" s="112"/>
      <c r="F194" s="52" t="str">
        <f t="shared" si="6"/>
        <v/>
      </c>
      <c r="G194" s="52"/>
      <c r="H194" s="52"/>
      <c r="I194" s="52"/>
      <c r="J194" s="52"/>
      <c r="K194" s="52"/>
      <c r="L194" s="52"/>
      <c r="M194" s="113"/>
      <c r="N194" s="113"/>
      <c r="O194" s="113"/>
      <c r="P194" s="113"/>
      <c r="V194" s="52" t="str">
        <f t="shared" si="5"/>
        <v/>
      </c>
      <c r="W194" s="52"/>
      <c r="X194" s="52"/>
      <c r="Y194" s="52"/>
      <c r="Z194" s="52"/>
      <c r="AA194" s="52"/>
      <c r="AB194" s="114"/>
      <c r="AC194" s="56"/>
      <c r="AD194" s="115"/>
      <c r="AE194" s="116"/>
    </row>
    <row r="195" ht="15.75" customHeight="1">
      <c r="E195" s="112"/>
      <c r="F195" s="52" t="str">
        <f t="shared" si="6"/>
        <v/>
      </c>
      <c r="G195" s="52"/>
      <c r="H195" s="52"/>
      <c r="I195" s="52"/>
      <c r="J195" s="52"/>
      <c r="K195" s="52"/>
      <c r="L195" s="52"/>
      <c r="M195" s="113"/>
      <c r="N195" s="113"/>
      <c r="O195" s="113"/>
      <c r="P195" s="113"/>
      <c r="V195" s="52" t="str">
        <f t="shared" si="5"/>
        <v/>
      </c>
      <c r="W195" s="52"/>
      <c r="X195" s="52"/>
      <c r="Y195" s="52"/>
      <c r="Z195" s="52"/>
      <c r="AA195" s="52"/>
      <c r="AB195" s="114"/>
      <c r="AC195" s="56"/>
      <c r="AD195" s="115"/>
      <c r="AE195" s="116"/>
    </row>
    <row r="196" ht="15.75" customHeight="1">
      <c r="E196" s="112"/>
      <c r="F196" s="52" t="str">
        <f t="shared" si="6"/>
        <v/>
      </c>
      <c r="G196" s="52"/>
      <c r="H196" s="52"/>
      <c r="I196" s="52"/>
      <c r="J196" s="52"/>
      <c r="K196" s="52"/>
      <c r="L196" s="52"/>
      <c r="M196" s="113"/>
      <c r="N196" s="113"/>
      <c r="O196" s="113"/>
      <c r="P196" s="113"/>
      <c r="V196" s="52" t="str">
        <f t="shared" si="5"/>
        <v/>
      </c>
      <c r="W196" s="52"/>
      <c r="X196" s="52"/>
      <c r="Y196" s="52"/>
      <c r="Z196" s="52"/>
      <c r="AA196" s="52"/>
      <c r="AB196" s="114"/>
      <c r="AC196" s="56"/>
      <c r="AD196" s="115"/>
      <c r="AE196" s="116"/>
    </row>
    <row r="197" ht="15.75" customHeight="1">
      <c r="E197" s="112"/>
      <c r="F197" s="52" t="str">
        <f t="shared" si="6"/>
        <v/>
      </c>
      <c r="G197" s="52"/>
      <c r="H197" s="52"/>
      <c r="I197" s="52"/>
      <c r="J197" s="52"/>
      <c r="K197" s="52"/>
      <c r="L197" s="52"/>
      <c r="M197" s="113"/>
      <c r="N197" s="113"/>
      <c r="O197" s="113"/>
      <c r="P197" s="113"/>
      <c r="V197" s="52" t="str">
        <f t="shared" si="5"/>
        <v/>
      </c>
      <c r="W197" s="52"/>
      <c r="X197" s="52"/>
      <c r="Y197" s="52"/>
      <c r="Z197" s="52"/>
      <c r="AA197" s="52"/>
      <c r="AB197" s="114"/>
      <c r="AC197" s="56"/>
      <c r="AD197" s="115"/>
      <c r="AE197" s="116"/>
    </row>
    <row r="198" ht="15.75" customHeight="1">
      <c r="E198" s="112"/>
      <c r="F198" s="52" t="str">
        <f t="shared" si="6"/>
        <v/>
      </c>
      <c r="G198" s="52"/>
      <c r="H198" s="52"/>
      <c r="I198" s="52"/>
      <c r="J198" s="52"/>
      <c r="K198" s="52"/>
      <c r="L198" s="52"/>
      <c r="M198" s="113"/>
      <c r="N198" s="113"/>
      <c r="O198" s="113"/>
      <c r="P198" s="113"/>
      <c r="V198" s="52" t="str">
        <f t="shared" si="5"/>
        <v/>
      </c>
      <c r="W198" s="52"/>
      <c r="X198" s="52"/>
      <c r="Y198" s="52"/>
      <c r="Z198" s="52"/>
      <c r="AA198" s="52"/>
      <c r="AB198" s="114"/>
      <c r="AC198" s="56"/>
      <c r="AD198" s="115"/>
      <c r="AE198" s="116"/>
    </row>
    <row r="199" ht="15.75" customHeight="1">
      <c r="M199" s="113"/>
      <c r="N199" s="113"/>
      <c r="O199" s="113"/>
      <c r="P199" s="113"/>
      <c r="AC199" s="117"/>
      <c r="AD199" s="118"/>
    </row>
    <row r="200" ht="15.75" customHeight="1">
      <c r="M200" s="113"/>
      <c r="N200" s="113"/>
      <c r="O200" s="113"/>
      <c r="P200" s="113"/>
      <c r="AC200" s="117"/>
      <c r="AD200" s="118"/>
    </row>
    <row r="201" ht="15.75" customHeight="1">
      <c r="M201" s="113"/>
      <c r="N201" s="113"/>
      <c r="O201" s="113"/>
      <c r="P201" s="113"/>
      <c r="AC201" s="117"/>
      <c r="AD201" s="118"/>
    </row>
    <row r="202" ht="15.75" customHeight="1">
      <c r="M202" s="113"/>
      <c r="N202" s="113"/>
      <c r="O202" s="113"/>
      <c r="P202" s="113"/>
      <c r="AC202" s="117"/>
      <c r="AD202" s="118"/>
    </row>
    <row r="203" ht="15.75" customHeight="1">
      <c r="M203" s="113"/>
      <c r="N203" s="113"/>
      <c r="O203" s="113"/>
      <c r="P203" s="113"/>
      <c r="AC203" s="117"/>
      <c r="AD203" s="118"/>
    </row>
    <row r="204" ht="15.75" customHeight="1">
      <c r="M204" s="113"/>
      <c r="N204" s="113"/>
      <c r="O204" s="113"/>
      <c r="P204" s="113"/>
      <c r="AC204" s="117"/>
      <c r="AD204" s="118"/>
    </row>
    <row r="205" ht="15.75" customHeight="1">
      <c r="M205" s="113"/>
      <c r="N205" s="113"/>
      <c r="O205" s="113"/>
      <c r="P205" s="113"/>
      <c r="AC205" s="117"/>
      <c r="AD205" s="118"/>
    </row>
    <row r="206" ht="15.75" customHeight="1">
      <c r="M206" s="113"/>
      <c r="N206" s="113"/>
      <c r="O206" s="113"/>
      <c r="P206" s="113"/>
      <c r="AC206" s="117"/>
      <c r="AD206" s="118"/>
    </row>
    <row r="207" ht="15.75" customHeight="1">
      <c r="M207" s="113"/>
      <c r="N207" s="113"/>
      <c r="O207" s="113"/>
      <c r="P207" s="113"/>
      <c r="AC207" s="117"/>
      <c r="AD207" s="118"/>
    </row>
    <row r="208" ht="15.75" customHeight="1">
      <c r="M208" s="113"/>
      <c r="N208" s="113"/>
      <c r="O208" s="113"/>
      <c r="P208" s="113"/>
      <c r="AC208" s="117"/>
      <c r="AD208" s="118"/>
    </row>
    <row r="209" ht="15.75" customHeight="1">
      <c r="M209" s="113"/>
      <c r="N209" s="113"/>
      <c r="O209" s="113"/>
      <c r="P209" s="113"/>
      <c r="AC209" s="117"/>
      <c r="AD209" s="118"/>
    </row>
    <row r="210" ht="15.75" customHeight="1">
      <c r="M210" s="113"/>
      <c r="N210" s="113"/>
      <c r="O210" s="113"/>
      <c r="P210" s="113"/>
      <c r="AC210" s="117"/>
      <c r="AD210" s="118"/>
    </row>
    <row r="211" ht="15.75" customHeight="1">
      <c r="M211" s="113"/>
      <c r="N211" s="113"/>
      <c r="O211" s="113"/>
      <c r="P211" s="113"/>
      <c r="AC211" s="117"/>
      <c r="AD211" s="118"/>
    </row>
    <row r="212" ht="15.75" customHeight="1">
      <c r="M212" s="113"/>
      <c r="N212" s="113"/>
      <c r="O212" s="113"/>
      <c r="P212" s="113"/>
      <c r="AC212" s="117"/>
      <c r="AD212" s="118"/>
    </row>
    <row r="213" ht="15.75" customHeight="1">
      <c r="M213" s="113"/>
      <c r="N213" s="113"/>
      <c r="O213" s="113"/>
      <c r="P213" s="113"/>
      <c r="AC213" s="117"/>
      <c r="AD213" s="118"/>
    </row>
    <row r="214" ht="15.75" customHeight="1">
      <c r="M214" s="113"/>
      <c r="N214" s="113"/>
      <c r="O214" s="113"/>
      <c r="P214" s="113"/>
      <c r="AC214" s="117"/>
      <c r="AD214" s="118"/>
    </row>
    <row r="215" ht="15.75" customHeight="1">
      <c r="M215" s="113"/>
      <c r="N215" s="113"/>
      <c r="O215" s="113"/>
      <c r="P215" s="113"/>
      <c r="AC215" s="117"/>
      <c r="AD215" s="118"/>
    </row>
    <row r="216" ht="15.75" customHeight="1">
      <c r="M216" s="113"/>
      <c r="N216" s="113"/>
      <c r="O216" s="113"/>
      <c r="P216" s="113"/>
      <c r="AC216" s="117"/>
      <c r="AD216" s="118"/>
    </row>
    <row r="217" ht="15.75" customHeight="1">
      <c r="M217" s="113"/>
      <c r="N217" s="113"/>
      <c r="O217" s="113"/>
      <c r="P217" s="113"/>
      <c r="AC217" s="117"/>
      <c r="AD217" s="118"/>
    </row>
    <row r="218" ht="15.75" customHeight="1">
      <c r="M218" s="113"/>
      <c r="N218" s="113"/>
      <c r="O218" s="113"/>
      <c r="P218" s="113"/>
      <c r="AC218" s="117"/>
      <c r="AD218" s="118"/>
    </row>
    <row r="219" ht="15.75" customHeight="1">
      <c r="M219" s="113"/>
      <c r="N219" s="113"/>
      <c r="O219" s="113"/>
      <c r="P219" s="113"/>
      <c r="AC219" s="117"/>
      <c r="AD219" s="118"/>
    </row>
    <row r="220" ht="15.75" customHeight="1">
      <c r="M220" s="113"/>
      <c r="N220" s="113"/>
      <c r="O220" s="113"/>
      <c r="P220" s="113"/>
      <c r="AC220" s="117"/>
      <c r="AD220" s="118"/>
    </row>
    <row r="221" ht="15.75" customHeight="1">
      <c r="M221" s="113"/>
      <c r="N221" s="113"/>
      <c r="O221" s="113"/>
      <c r="P221" s="113"/>
      <c r="AC221" s="117"/>
      <c r="AD221" s="118"/>
    </row>
    <row r="222" ht="15.75" customHeight="1">
      <c r="M222" s="113"/>
      <c r="N222" s="113"/>
      <c r="O222" s="113"/>
      <c r="P222" s="113"/>
      <c r="AC222" s="117"/>
      <c r="AD222" s="118"/>
    </row>
    <row r="223" ht="15.75" customHeight="1">
      <c r="M223" s="113"/>
      <c r="N223" s="113"/>
      <c r="O223" s="113"/>
      <c r="P223" s="113"/>
      <c r="AC223" s="117"/>
      <c r="AD223" s="118"/>
    </row>
    <row r="224" ht="15.75" customHeight="1">
      <c r="M224" s="113"/>
      <c r="N224" s="113"/>
      <c r="O224" s="113"/>
      <c r="P224" s="113"/>
      <c r="AC224" s="117"/>
      <c r="AD224" s="118"/>
    </row>
    <row r="225" ht="15.75" customHeight="1">
      <c r="M225" s="113"/>
      <c r="N225" s="113"/>
      <c r="O225" s="113"/>
      <c r="P225" s="113"/>
      <c r="AC225" s="117"/>
      <c r="AD225" s="118"/>
    </row>
    <row r="226" ht="15.75" customHeight="1">
      <c r="M226" s="113"/>
      <c r="N226" s="113"/>
      <c r="O226" s="113"/>
      <c r="P226" s="113"/>
      <c r="AC226" s="117"/>
      <c r="AD226" s="118"/>
    </row>
    <row r="227" ht="15.75" customHeight="1">
      <c r="M227" s="113"/>
      <c r="N227" s="113"/>
      <c r="O227" s="113"/>
      <c r="P227" s="113"/>
      <c r="AC227" s="117"/>
      <c r="AD227" s="118"/>
    </row>
    <row r="228" ht="15.75" customHeight="1">
      <c r="M228" s="113"/>
      <c r="N228" s="113"/>
      <c r="O228" s="113"/>
      <c r="P228" s="113"/>
      <c r="AC228" s="117"/>
      <c r="AD228" s="118"/>
    </row>
    <row r="229" ht="15.75" customHeight="1">
      <c r="M229" s="113"/>
      <c r="N229" s="113"/>
      <c r="O229" s="113"/>
      <c r="P229" s="113"/>
      <c r="AC229" s="117"/>
      <c r="AD229" s="118"/>
    </row>
    <row r="230" ht="15.75" customHeight="1">
      <c r="M230" s="113"/>
      <c r="N230" s="113"/>
      <c r="O230" s="113"/>
      <c r="P230" s="113"/>
      <c r="AC230" s="117"/>
      <c r="AD230" s="118"/>
    </row>
    <row r="231" ht="15.75" customHeight="1">
      <c r="M231" s="113"/>
      <c r="N231" s="113"/>
      <c r="O231" s="113"/>
      <c r="P231" s="113"/>
      <c r="AC231" s="117"/>
      <c r="AD231" s="118"/>
    </row>
    <row r="232" ht="15.75" customHeight="1">
      <c r="M232" s="113"/>
      <c r="N232" s="113"/>
      <c r="O232" s="113"/>
      <c r="P232" s="113"/>
      <c r="AC232" s="117"/>
      <c r="AD232" s="118"/>
    </row>
    <row r="233" ht="15.75" customHeight="1">
      <c r="M233" s="113"/>
      <c r="N233" s="113"/>
      <c r="O233" s="113"/>
      <c r="P233" s="113"/>
      <c r="AC233" s="117"/>
      <c r="AD233" s="118"/>
    </row>
    <row r="234" ht="15.75" customHeight="1">
      <c r="M234" s="113"/>
      <c r="N234" s="113"/>
      <c r="O234" s="113"/>
      <c r="P234" s="113"/>
      <c r="AC234" s="117"/>
      <c r="AD234" s="118"/>
    </row>
    <row r="235" ht="15.75" customHeight="1">
      <c r="M235" s="113"/>
      <c r="N235" s="113"/>
      <c r="O235" s="113"/>
      <c r="P235" s="113"/>
      <c r="AC235" s="117"/>
      <c r="AD235" s="118"/>
    </row>
    <row r="236" ht="15.75" customHeight="1">
      <c r="M236" s="113"/>
      <c r="N236" s="113"/>
      <c r="O236" s="113"/>
      <c r="P236" s="113"/>
      <c r="AC236" s="117"/>
      <c r="AD236" s="118"/>
    </row>
    <row r="237" ht="15.75" customHeight="1">
      <c r="M237" s="113"/>
      <c r="N237" s="113"/>
      <c r="O237" s="113"/>
      <c r="P237" s="113"/>
      <c r="AC237" s="117"/>
      <c r="AD237" s="118"/>
    </row>
    <row r="238" ht="15.75" customHeight="1">
      <c r="M238" s="113"/>
      <c r="N238" s="113"/>
      <c r="O238" s="113"/>
      <c r="P238" s="113"/>
      <c r="AC238" s="117"/>
      <c r="AD238" s="118"/>
    </row>
    <row r="239" ht="15.75" customHeight="1">
      <c r="M239" s="113"/>
      <c r="N239" s="113"/>
      <c r="O239" s="113"/>
      <c r="P239" s="113"/>
      <c r="AC239" s="117"/>
      <c r="AD239" s="118"/>
    </row>
    <row r="240" ht="15.75" customHeight="1">
      <c r="M240" s="113"/>
      <c r="N240" s="113"/>
      <c r="O240" s="113"/>
      <c r="P240" s="113"/>
      <c r="AC240" s="117"/>
      <c r="AD240" s="118"/>
    </row>
    <row r="241" ht="15.75" customHeight="1">
      <c r="M241" s="113"/>
      <c r="N241" s="113"/>
      <c r="O241" s="113"/>
      <c r="P241" s="113"/>
      <c r="AC241" s="117"/>
      <c r="AD241" s="118"/>
    </row>
    <row r="242" ht="15.75" customHeight="1">
      <c r="M242" s="113"/>
      <c r="N242" s="113"/>
      <c r="O242" s="113"/>
      <c r="P242" s="113"/>
      <c r="AC242" s="117"/>
      <c r="AD242" s="118"/>
    </row>
    <row r="243" ht="15.75" customHeight="1">
      <c r="M243" s="113"/>
      <c r="N243" s="113"/>
      <c r="O243" s="113"/>
      <c r="P243" s="113"/>
      <c r="AC243" s="117"/>
      <c r="AD243" s="118"/>
    </row>
    <row r="244" ht="15.75" customHeight="1">
      <c r="M244" s="113"/>
      <c r="N244" s="113"/>
      <c r="O244" s="113"/>
      <c r="P244" s="113"/>
      <c r="AC244" s="117"/>
      <c r="AD244" s="118"/>
    </row>
    <row r="245" ht="15.75" customHeight="1">
      <c r="M245" s="113"/>
      <c r="N245" s="113"/>
      <c r="O245" s="113"/>
      <c r="P245" s="113"/>
      <c r="AC245" s="117"/>
      <c r="AD245" s="118"/>
    </row>
    <row r="246" ht="15.75" customHeight="1">
      <c r="M246" s="113"/>
      <c r="N246" s="113"/>
      <c r="O246" s="113"/>
      <c r="P246" s="113"/>
      <c r="AC246" s="117"/>
      <c r="AD246" s="118"/>
    </row>
    <row r="247" ht="15.75" customHeight="1">
      <c r="M247" s="113"/>
      <c r="N247" s="113"/>
      <c r="O247" s="113"/>
      <c r="P247" s="113"/>
      <c r="AC247" s="117"/>
      <c r="AD247" s="118"/>
    </row>
    <row r="248" ht="15.75" customHeight="1">
      <c r="M248" s="113"/>
      <c r="N248" s="113"/>
      <c r="O248" s="113"/>
      <c r="P248" s="113"/>
      <c r="AC248" s="117"/>
      <c r="AD248" s="118"/>
    </row>
    <row r="249" ht="15.75" customHeight="1">
      <c r="M249" s="113"/>
      <c r="N249" s="113"/>
      <c r="O249" s="113"/>
      <c r="P249" s="113"/>
      <c r="AC249" s="117"/>
      <c r="AD249" s="118"/>
    </row>
    <row r="250" ht="15.75" customHeight="1">
      <c r="M250" s="113"/>
      <c r="N250" s="113"/>
      <c r="O250" s="113"/>
      <c r="P250" s="113"/>
      <c r="AC250" s="117"/>
      <c r="AD250" s="118"/>
    </row>
    <row r="251" ht="15.75" customHeight="1">
      <c r="M251" s="113"/>
      <c r="N251" s="113"/>
      <c r="O251" s="113"/>
      <c r="P251" s="113"/>
      <c r="AC251" s="117"/>
      <c r="AD251" s="118"/>
    </row>
    <row r="252" ht="15.75" customHeight="1">
      <c r="M252" s="113"/>
      <c r="N252" s="113"/>
      <c r="O252" s="113"/>
      <c r="P252" s="113"/>
      <c r="AC252" s="117"/>
      <c r="AD252" s="118"/>
    </row>
    <row r="253" ht="15.75" customHeight="1">
      <c r="M253" s="113"/>
      <c r="N253" s="113"/>
      <c r="O253" s="113"/>
      <c r="P253" s="113"/>
      <c r="AC253" s="117"/>
      <c r="AD253" s="118"/>
    </row>
    <row r="254" ht="15.75" customHeight="1">
      <c r="M254" s="113"/>
      <c r="N254" s="113"/>
      <c r="O254" s="113"/>
      <c r="P254" s="113"/>
      <c r="AC254" s="117"/>
      <c r="AD254" s="118"/>
    </row>
    <row r="255" ht="15.75" customHeight="1">
      <c r="M255" s="113"/>
      <c r="N255" s="113"/>
      <c r="O255" s="113"/>
      <c r="P255" s="113"/>
      <c r="AC255" s="117"/>
      <c r="AD255" s="118"/>
    </row>
    <row r="256" ht="15.75" customHeight="1">
      <c r="M256" s="113"/>
      <c r="N256" s="113"/>
      <c r="O256" s="113"/>
      <c r="P256" s="113"/>
      <c r="AC256" s="117"/>
      <c r="AD256" s="118"/>
    </row>
    <row r="257" ht="15.75" customHeight="1">
      <c r="M257" s="113"/>
      <c r="N257" s="113"/>
      <c r="O257" s="113"/>
      <c r="P257" s="113"/>
      <c r="AC257" s="117"/>
      <c r="AD257" s="118"/>
    </row>
    <row r="258" ht="15.75" customHeight="1">
      <c r="M258" s="113"/>
      <c r="N258" s="113"/>
      <c r="O258" s="113"/>
      <c r="P258" s="113"/>
      <c r="AC258" s="117"/>
      <c r="AD258" s="118"/>
    </row>
    <row r="259" ht="15.75" customHeight="1">
      <c r="M259" s="113"/>
      <c r="N259" s="113"/>
      <c r="O259" s="113"/>
      <c r="P259" s="113"/>
      <c r="AC259" s="117"/>
      <c r="AD259" s="118"/>
    </row>
    <row r="260" ht="15.75" customHeight="1">
      <c r="M260" s="113"/>
      <c r="N260" s="113"/>
      <c r="O260" s="113"/>
      <c r="P260" s="113"/>
      <c r="AC260" s="117"/>
      <c r="AD260" s="118"/>
    </row>
    <row r="261" ht="15.75" customHeight="1">
      <c r="M261" s="113"/>
      <c r="N261" s="113"/>
      <c r="O261" s="113"/>
      <c r="P261" s="113"/>
      <c r="AC261" s="117"/>
      <c r="AD261" s="118"/>
    </row>
    <row r="262" ht="15.75" customHeight="1">
      <c r="M262" s="113"/>
      <c r="N262" s="113"/>
      <c r="O262" s="113"/>
      <c r="P262" s="113"/>
      <c r="AC262" s="117"/>
      <c r="AD262" s="118"/>
    </row>
    <row r="263" ht="15.75" customHeight="1">
      <c r="M263" s="113"/>
      <c r="N263" s="113"/>
      <c r="O263" s="113"/>
      <c r="P263" s="113"/>
      <c r="AC263" s="117"/>
      <c r="AD263" s="118"/>
    </row>
    <row r="264" ht="15.75" customHeight="1">
      <c r="M264" s="113"/>
      <c r="N264" s="113"/>
      <c r="O264" s="113"/>
      <c r="P264" s="113"/>
      <c r="AC264" s="117"/>
      <c r="AD264" s="118"/>
    </row>
    <row r="265" ht="15.75" customHeight="1">
      <c r="M265" s="113"/>
      <c r="N265" s="113"/>
      <c r="O265" s="113"/>
      <c r="P265" s="113"/>
      <c r="AC265" s="117"/>
      <c r="AD265" s="118"/>
    </row>
    <row r="266" ht="15.75" customHeight="1">
      <c r="M266" s="113"/>
      <c r="N266" s="113"/>
      <c r="O266" s="113"/>
      <c r="P266" s="113"/>
      <c r="AC266" s="117"/>
      <c r="AD266" s="118"/>
    </row>
    <row r="267" ht="15.75" customHeight="1">
      <c r="M267" s="113"/>
      <c r="N267" s="113"/>
      <c r="O267" s="113"/>
      <c r="P267" s="113"/>
      <c r="AC267" s="117"/>
      <c r="AD267" s="118"/>
    </row>
    <row r="268" ht="15.75" customHeight="1">
      <c r="M268" s="113"/>
      <c r="N268" s="113"/>
      <c r="O268" s="113"/>
      <c r="P268" s="113"/>
      <c r="AC268" s="117"/>
      <c r="AD268" s="118"/>
    </row>
    <row r="269" ht="15.75" customHeight="1">
      <c r="M269" s="113"/>
      <c r="N269" s="113"/>
      <c r="O269" s="113"/>
      <c r="P269" s="113"/>
      <c r="AC269" s="117"/>
      <c r="AD269" s="118"/>
    </row>
    <row r="270" ht="15.75" customHeight="1">
      <c r="M270" s="113"/>
      <c r="N270" s="113"/>
      <c r="O270" s="113"/>
      <c r="P270" s="113"/>
      <c r="AC270" s="117"/>
      <c r="AD270" s="118"/>
    </row>
    <row r="271" ht="15.75" customHeight="1">
      <c r="M271" s="113"/>
      <c r="N271" s="113"/>
      <c r="O271" s="113"/>
      <c r="P271" s="113"/>
      <c r="AC271" s="117"/>
      <c r="AD271" s="118"/>
    </row>
    <row r="272" ht="15.75" customHeight="1">
      <c r="M272" s="113"/>
      <c r="N272" s="113"/>
      <c r="O272" s="113"/>
      <c r="P272" s="113"/>
      <c r="AC272" s="117"/>
      <c r="AD272" s="118"/>
    </row>
    <row r="273" ht="15.75" customHeight="1">
      <c r="M273" s="113"/>
      <c r="N273" s="113"/>
      <c r="O273" s="113"/>
      <c r="P273" s="113"/>
      <c r="AC273" s="117"/>
      <c r="AD273" s="118"/>
    </row>
    <row r="274" ht="15.75" customHeight="1">
      <c r="M274" s="113"/>
      <c r="N274" s="113"/>
      <c r="O274" s="113"/>
      <c r="P274" s="113"/>
      <c r="AC274" s="117"/>
      <c r="AD274" s="118"/>
    </row>
    <row r="275" ht="15.75" customHeight="1">
      <c r="M275" s="113"/>
      <c r="N275" s="113"/>
      <c r="O275" s="113"/>
      <c r="P275" s="113"/>
      <c r="AC275" s="117"/>
      <c r="AD275" s="118"/>
    </row>
    <row r="276" ht="15.75" customHeight="1">
      <c r="M276" s="113"/>
      <c r="N276" s="113"/>
      <c r="O276" s="113"/>
      <c r="P276" s="113"/>
      <c r="AC276" s="117"/>
      <c r="AD276" s="118"/>
    </row>
    <row r="277" ht="15.75" customHeight="1">
      <c r="M277" s="113"/>
      <c r="N277" s="113"/>
      <c r="O277" s="113"/>
      <c r="P277" s="113"/>
      <c r="AC277" s="117"/>
      <c r="AD277" s="118"/>
    </row>
    <row r="278" ht="15.75" customHeight="1">
      <c r="M278" s="113"/>
      <c r="N278" s="113"/>
      <c r="O278" s="113"/>
      <c r="P278" s="113"/>
      <c r="AC278" s="117"/>
      <c r="AD278" s="118"/>
    </row>
    <row r="279" ht="15.75" customHeight="1">
      <c r="M279" s="113"/>
      <c r="N279" s="113"/>
      <c r="O279" s="113"/>
      <c r="P279" s="113"/>
      <c r="AC279" s="117"/>
      <c r="AD279" s="118"/>
    </row>
    <row r="280" ht="15.75" customHeight="1">
      <c r="M280" s="113"/>
      <c r="N280" s="113"/>
      <c r="O280" s="113"/>
      <c r="P280" s="113"/>
      <c r="AC280" s="117"/>
      <c r="AD280" s="118"/>
    </row>
    <row r="281" ht="15.75" customHeight="1">
      <c r="M281" s="113"/>
      <c r="N281" s="113"/>
      <c r="O281" s="113"/>
      <c r="P281" s="113"/>
      <c r="AC281" s="117"/>
      <c r="AD281" s="118"/>
    </row>
    <row r="282" ht="15.75" customHeight="1">
      <c r="M282" s="113"/>
      <c r="N282" s="113"/>
      <c r="O282" s="113"/>
      <c r="P282" s="113"/>
      <c r="AC282" s="117"/>
      <c r="AD282" s="118"/>
    </row>
    <row r="283" ht="15.75" customHeight="1">
      <c r="M283" s="113"/>
      <c r="N283" s="113"/>
      <c r="O283" s="113"/>
      <c r="P283" s="113"/>
      <c r="AC283" s="117"/>
      <c r="AD283" s="118"/>
    </row>
    <row r="284" ht="15.75" customHeight="1">
      <c r="M284" s="113"/>
      <c r="N284" s="113"/>
      <c r="O284" s="113"/>
      <c r="P284" s="113"/>
      <c r="AC284" s="117"/>
      <c r="AD284" s="118"/>
    </row>
    <row r="285" ht="15.75" customHeight="1">
      <c r="M285" s="113"/>
      <c r="N285" s="113"/>
      <c r="O285" s="113"/>
      <c r="P285" s="113"/>
      <c r="AC285" s="117"/>
      <c r="AD285" s="118"/>
    </row>
    <row r="286" ht="15.75" customHeight="1">
      <c r="M286" s="113"/>
      <c r="N286" s="113"/>
      <c r="O286" s="113"/>
      <c r="P286" s="113"/>
      <c r="AC286" s="117"/>
      <c r="AD286" s="118"/>
    </row>
    <row r="287" ht="15.75" customHeight="1">
      <c r="M287" s="113"/>
      <c r="N287" s="113"/>
      <c r="O287" s="113"/>
      <c r="P287" s="113"/>
      <c r="AC287" s="117"/>
      <c r="AD287" s="118"/>
    </row>
    <row r="288" ht="15.75" customHeight="1">
      <c r="M288" s="113"/>
      <c r="N288" s="113"/>
      <c r="O288" s="113"/>
      <c r="P288" s="113"/>
      <c r="AC288" s="117"/>
      <c r="AD288" s="118"/>
    </row>
    <row r="289" ht="15.75" customHeight="1">
      <c r="M289" s="113"/>
      <c r="N289" s="113"/>
      <c r="O289" s="113"/>
      <c r="P289" s="113"/>
      <c r="AC289" s="117"/>
      <c r="AD289" s="118"/>
    </row>
    <row r="290" ht="15.75" customHeight="1">
      <c r="M290" s="113"/>
      <c r="N290" s="113"/>
      <c r="O290" s="113"/>
      <c r="P290" s="113"/>
      <c r="AC290" s="117"/>
      <c r="AD290" s="118"/>
    </row>
    <row r="291" ht="15.75" customHeight="1">
      <c r="M291" s="113"/>
      <c r="N291" s="113"/>
      <c r="O291" s="113"/>
      <c r="P291" s="113"/>
      <c r="AC291" s="117"/>
      <c r="AD291" s="118"/>
    </row>
    <row r="292" ht="15.75" customHeight="1">
      <c r="M292" s="113"/>
      <c r="N292" s="113"/>
      <c r="O292" s="113"/>
      <c r="P292" s="113"/>
      <c r="AC292" s="117"/>
      <c r="AD292" s="118"/>
    </row>
    <row r="293" ht="15.75" customHeight="1">
      <c r="M293" s="113"/>
      <c r="N293" s="113"/>
      <c r="O293" s="113"/>
      <c r="P293" s="113"/>
      <c r="AC293" s="117"/>
      <c r="AD293" s="118"/>
    </row>
    <row r="294" ht="15.75" customHeight="1">
      <c r="M294" s="113"/>
      <c r="N294" s="113"/>
      <c r="O294" s="113"/>
      <c r="P294" s="113"/>
      <c r="AC294" s="117"/>
      <c r="AD294" s="118"/>
    </row>
    <row r="295" ht="15.75" customHeight="1">
      <c r="M295" s="113"/>
      <c r="N295" s="113"/>
      <c r="O295" s="113"/>
      <c r="P295" s="113"/>
      <c r="AC295" s="117"/>
      <c r="AD295" s="118"/>
    </row>
    <row r="296" ht="15.75" customHeight="1">
      <c r="M296" s="113"/>
      <c r="N296" s="113"/>
      <c r="O296" s="113"/>
      <c r="P296" s="113"/>
      <c r="AC296" s="117"/>
      <c r="AD296" s="118"/>
    </row>
    <row r="297" ht="15.75" customHeight="1">
      <c r="M297" s="113"/>
      <c r="N297" s="113"/>
      <c r="O297" s="113"/>
      <c r="P297" s="113"/>
      <c r="AC297" s="117"/>
      <c r="AD297" s="118"/>
    </row>
    <row r="298" ht="15.75" customHeight="1">
      <c r="M298" s="113"/>
      <c r="N298" s="113"/>
      <c r="O298" s="113"/>
      <c r="P298" s="113"/>
      <c r="AC298" s="117"/>
      <c r="AD298" s="118"/>
    </row>
    <row r="299" ht="15.75" customHeight="1">
      <c r="M299" s="113"/>
      <c r="N299" s="113"/>
      <c r="O299" s="113"/>
      <c r="P299" s="113"/>
      <c r="AC299" s="117"/>
      <c r="AD299" s="118"/>
    </row>
    <row r="300" ht="15.75" customHeight="1">
      <c r="M300" s="113"/>
      <c r="N300" s="113"/>
      <c r="O300" s="113"/>
      <c r="P300" s="113"/>
      <c r="AC300" s="117"/>
      <c r="AD300" s="118"/>
    </row>
    <row r="301" ht="15.75" customHeight="1">
      <c r="M301" s="113"/>
      <c r="N301" s="113"/>
      <c r="O301" s="113"/>
      <c r="P301" s="113"/>
      <c r="AC301" s="117"/>
      <c r="AD301" s="118"/>
    </row>
    <row r="302" ht="15.75" customHeight="1">
      <c r="M302" s="113"/>
      <c r="N302" s="113"/>
      <c r="O302" s="113"/>
      <c r="P302" s="113"/>
      <c r="AC302" s="117"/>
      <c r="AD302" s="118"/>
    </row>
    <row r="303" ht="15.75" customHeight="1">
      <c r="M303" s="113"/>
      <c r="N303" s="113"/>
      <c r="O303" s="113"/>
      <c r="P303" s="113"/>
      <c r="AC303" s="117"/>
      <c r="AD303" s="118"/>
    </row>
    <row r="304" ht="15.75" customHeight="1">
      <c r="M304" s="113"/>
      <c r="N304" s="113"/>
      <c r="O304" s="113"/>
      <c r="P304" s="113"/>
      <c r="AC304" s="117"/>
      <c r="AD304" s="118"/>
    </row>
    <row r="305" ht="15.75" customHeight="1">
      <c r="M305" s="113"/>
      <c r="N305" s="113"/>
      <c r="O305" s="113"/>
      <c r="P305" s="113"/>
      <c r="AC305" s="117"/>
      <c r="AD305" s="118"/>
    </row>
    <row r="306" ht="15.75" customHeight="1">
      <c r="M306" s="113"/>
      <c r="N306" s="113"/>
      <c r="O306" s="113"/>
      <c r="P306" s="113"/>
      <c r="AC306" s="117"/>
      <c r="AD306" s="118"/>
    </row>
    <row r="307" ht="15.75" customHeight="1">
      <c r="M307" s="113"/>
      <c r="N307" s="113"/>
      <c r="O307" s="113"/>
      <c r="P307" s="113"/>
      <c r="AC307" s="117"/>
      <c r="AD307" s="118"/>
    </row>
    <row r="308" ht="15.75" customHeight="1">
      <c r="M308" s="113"/>
      <c r="N308" s="113"/>
      <c r="O308" s="113"/>
      <c r="P308" s="113"/>
      <c r="AC308" s="117"/>
      <c r="AD308" s="118"/>
    </row>
    <row r="309" ht="15.75" customHeight="1">
      <c r="M309" s="113"/>
      <c r="N309" s="113"/>
      <c r="O309" s="113"/>
      <c r="P309" s="113"/>
      <c r="AC309" s="117"/>
      <c r="AD309" s="118"/>
    </row>
    <row r="310" ht="15.75" customHeight="1">
      <c r="M310" s="113"/>
      <c r="N310" s="113"/>
      <c r="O310" s="113"/>
      <c r="P310" s="113"/>
      <c r="AC310" s="117"/>
      <c r="AD310" s="118"/>
    </row>
    <row r="311" ht="15.75" customHeight="1">
      <c r="M311" s="113"/>
      <c r="N311" s="113"/>
      <c r="O311" s="113"/>
      <c r="P311" s="113"/>
      <c r="AC311" s="117"/>
      <c r="AD311" s="118"/>
    </row>
    <row r="312" ht="15.75" customHeight="1">
      <c r="M312" s="113"/>
      <c r="N312" s="113"/>
      <c r="O312" s="113"/>
      <c r="P312" s="113"/>
      <c r="AC312" s="117"/>
      <c r="AD312" s="118"/>
    </row>
    <row r="313" ht="15.75" customHeight="1">
      <c r="M313" s="113"/>
      <c r="N313" s="113"/>
      <c r="O313" s="113"/>
      <c r="P313" s="113"/>
      <c r="AC313" s="117"/>
      <c r="AD313" s="118"/>
    </row>
    <row r="314" ht="15.75" customHeight="1">
      <c r="M314" s="113"/>
      <c r="N314" s="113"/>
      <c r="O314" s="113"/>
      <c r="P314" s="113"/>
      <c r="AC314" s="117"/>
      <c r="AD314" s="118"/>
    </row>
    <row r="315" ht="15.75" customHeight="1">
      <c r="M315" s="113"/>
      <c r="N315" s="113"/>
      <c r="O315" s="113"/>
      <c r="P315" s="113"/>
      <c r="AC315" s="117"/>
      <c r="AD315" s="118"/>
    </row>
    <row r="316" ht="15.75" customHeight="1">
      <c r="M316" s="113"/>
      <c r="N316" s="113"/>
      <c r="O316" s="113"/>
      <c r="P316" s="113"/>
      <c r="AC316" s="117"/>
      <c r="AD316" s="118"/>
    </row>
    <row r="317" ht="15.75" customHeight="1">
      <c r="M317" s="113"/>
      <c r="N317" s="113"/>
      <c r="O317" s="113"/>
      <c r="P317" s="113"/>
      <c r="AC317" s="117"/>
      <c r="AD317" s="118"/>
    </row>
    <row r="318" ht="15.75" customHeight="1">
      <c r="M318" s="113"/>
      <c r="N318" s="113"/>
      <c r="O318" s="113"/>
      <c r="P318" s="113"/>
      <c r="AC318" s="117"/>
      <c r="AD318" s="118"/>
    </row>
    <row r="319" ht="15.75" customHeight="1">
      <c r="M319" s="113"/>
      <c r="N319" s="113"/>
      <c r="O319" s="113"/>
      <c r="P319" s="113"/>
      <c r="AC319" s="117"/>
      <c r="AD319" s="118"/>
    </row>
    <row r="320" ht="15.75" customHeight="1">
      <c r="M320" s="113"/>
      <c r="N320" s="113"/>
      <c r="O320" s="113"/>
      <c r="P320" s="113"/>
      <c r="AC320" s="117"/>
      <c r="AD320" s="118"/>
    </row>
    <row r="321" ht="15.75" customHeight="1">
      <c r="M321" s="113"/>
      <c r="N321" s="113"/>
      <c r="O321" s="113"/>
      <c r="P321" s="113"/>
      <c r="AC321" s="117"/>
      <c r="AD321" s="118"/>
    </row>
    <row r="322" ht="15.75" customHeight="1">
      <c r="M322" s="113"/>
      <c r="N322" s="113"/>
      <c r="O322" s="113"/>
      <c r="P322" s="113"/>
      <c r="AC322" s="117"/>
      <c r="AD322" s="118"/>
    </row>
    <row r="323" ht="15.75" customHeight="1">
      <c r="M323" s="113"/>
      <c r="N323" s="113"/>
      <c r="O323" s="113"/>
      <c r="P323" s="113"/>
      <c r="AC323" s="117"/>
      <c r="AD323" s="118"/>
    </row>
    <row r="324" ht="15.75" customHeight="1">
      <c r="M324" s="113"/>
      <c r="N324" s="113"/>
      <c r="O324" s="113"/>
      <c r="P324" s="113"/>
      <c r="AC324" s="117"/>
      <c r="AD324" s="118"/>
    </row>
    <row r="325" ht="15.75" customHeight="1">
      <c r="M325" s="113"/>
      <c r="N325" s="113"/>
      <c r="O325" s="113"/>
      <c r="P325" s="113"/>
      <c r="AC325" s="117"/>
      <c r="AD325" s="118"/>
    </row>
    <row r="326" ht="15.75" customHeight="1">
      <c r="M326" s="113"/>
      <c r="N326" s="113"/>
      <c r="O326" s="113"/>
      <c r="P326" s="113"/>
      <c r="AC326" s="117"/>
      <c r="AD326" s="118"/>
    </row>
    <row r="327" ht="15.75" customHeight="1">
      <c r="M327" s="113"/>
      <c r="N327" s="113"/>
      <c r="O327" s="113"/>
      <c r="P327" s="113"/>
      <c r="AC327" s="117"/>
      <c r="AD327" s="118"/>
    </row>
    <row r="328" ht="15.75" customHeight="1">
      <c r="M328" s="113"/>
      <c r="N328" s="113"/>
      <c r="O328" s="113"/>
      <c r="P328" s="113"/>
      <c r="AC328" s="117"/>
      <c r="AD328" s="118"/>
    </row>
    <row r="329" ht="15.75" customHeight="1">
      <c r="M329" s="113"/>
      <c r="N329" s="113"/>
      <c r="O329" s="113"/>
      <c r="P329" s="113"/>
      <c r="AC329" s="117"/>
      <c r="AD329" s="118"/>
    </row>
    <row r="330" ht="15.75" customHeight="1">
      <c r="M330" s="113"/>
      <c r="N330" s="113"/>
      <c r="O330" s="113"/>
      <c r="P330" s="113"/>
      <c r="AC330" s="117"/>
      <c r="AD330" s="118"/>
    </row>
    <row r="331" ht="15.75" customHeight="1">
      <c r="M331" s="113"/>
      <c r="N331" s="113"/>
      <c r="O331" s="113"/>
      <c r="P331" s="113"/>
      <c r="AC331" s="117"/>
      <c r="AD331" s="118"/>
    </row>
    <row r="332" ht="15.75" customHeight="1">
      <c r="M332" s="113"/>
      <c r="N332" s="113"/>
      <c r="O332" s="113"/>
      <c r="P332" s="113"/>
      <c r="AC332" s="117"/>
      <c r="AD332" s="118"/>
    </row>
    <row r="333" ht="15.75" customHeight="1">
      <c r="M333" s="113"/>
      <c r="N333" s="113"/>
      <c r="O333" s="113"/>
      <c r="P333" s="113"/>
      <c r="AC333" s="117"/>
      <c r="AD333" s="118"/>
    </row>
    <row r="334" ht="15.75" customHeight="1">
      <c r="M334" s="113"/>
      <c r="N334" s="113"/>
      <c r="O334" s="113"/>
      <c r="P334" s="113"/>
      <c r="AC334" s="117"/>
      <c r="AD334" s="118"/>
    </row>
    <row r="335" ht="15.75" customHeight="1">
      <c r="M335" s="113"/>
      <c r="N335" s="113"/>
      <c r="O335" s="113"/>
      <c r="P335" s="113"/>
      <c r="AC335" s="117"/>
      <c r="AD335" s="118"/>
    </row>
    <row r="336" ht="15.75" customHeight="1">
      <c r="M336" s="113"/>
      <c r="N336" s="113"/>
      <c r="O336" s="113"/>
      <c r="P336" s="113"/>
      <c r="AC336" s="117"/>
      <c r="AD336" s="118"/>
    </row>
    <row r="337" ht="15.75" customHeight="1">
      <c r="M337" s="113"/>
      <c r="N337" s="113"/>
      <c r="O337" s="113"/>
      <c r="P337" s="113"/>
      <c r="AC337" s="117"/>
      <c r="AD337" s="118"/>
    </row>
    <row r="338" ht="15.75" customHeight="1">
      <c r="M338" s="113"/>
      <c r="N338" s="113"/>
      <c r="O338" s="113"/>
      <c r="P338" s="113"/>
      <c r="AC338" s="117"/>
      <c r="AD338" s="118"/>
    </row>
    <row r="339" ht="15.75" customHeight="1">
      <c r="M339" s="113"/>
      <c r="N339" s="113"/>
      <c r="O339" s="113"/>
      <c r="P339" s="113"/>
      <c r="AC339" s="117"/>
      <c r="AD339" s="118"/>
    </row>
    <row r="340" ht="15.75" customHeight="1">
      <c r="M340" s="113"/>
      <c r="N340" s="113"/>
      <c r="O340" s="113"/>
      <c r="P340" s="113"/>
      <c r="AC340" s="117"/>
      <c r="AD340" s="118"/>
    </row>
    <row r="341" ht="15.75" customHeight="1">
      <c r="M341" s="113"/>
      <c r="N341" s="113"/>
      <c r="O341" s="113"/>
      <c r="P341" s="113"/>
      <c r="AC341" s="117"/>
      <c r="AD341" s="118"/>
    </row>
    <row r="342" ht="15.75" customHeight="1">
      <c r="M342" s="113"/>
      <c r="N342" s="113"/>
      <c r="O342" s="113"/>
      <c r="P342" s="113"/>
      <c r="AC342" s="117"/>
      <c r="AD342" s="118"/>
    </row>
    <row r="343" ht="15.75" customHeight="1">
      <c r="M343" s="113"/>
      <c r="N343" s="113"/>
      <c r="O343" s="113"/>
      <c r="P343" s="113"/>
      <c r="AC343" s="117"/>
      <c r="AD343" s="118"/>
    </row>
    <row r="344" ht="15.75" customHeight="1">
      <c r="M344" s="113"/>
      <c r="N344" s="113"/>
      <c r="O344" s="113"/>
      <c r="P344" s="113"/>
      <c r="AC344" s="117"/>
      <c r="AD344" s="118"/>
    </row>
    <row r="345" ht="15.75" customHeight="1">
      <c r="M345" s="113"/>
      <c r="N345" s="113"/>
      <c r="O345" s="113"/>
      <c r="P345" s="113"/>
      <c r="AC345" s="117"/>
      <c r="AD345" s="118"/>
    </row>
    <row r="346" ht="15.75" customHeight="1">
      <c r="M346" s="113"/>
      <c r="N346" s="113"/>
      <c r="O346" s="113"/>
      <c r="P346" s="113"/>
      <c r="AC346" s="117"/>
      <c r="AD346" s="118"/>
    </row>
    <row r="347" ht="15.75" customHeight="1">
      <c r="M347" s="113"/>
      <c r="N347" s="113"/>
      <c r="O347" s="113"/>
      <c r="P347" s="113"/>
      <c r="AC347" s="117"/>
      <c r="AD347" s="118"/>
    </row>
    <row r="348" ht="15.75" customHeight="1">
      <c r="M348" s="113"/>
      <c r="N348" s="113"/>
      <c r="O348" s="113"/>
      <c r="P348" s="113"/>
      <c r="AC348" s="117"/>
      <c r="AD348" s="118"/>
    </row>
    <row r="349" ht="15.75" customHeight="1">
      <c r="M349" s="113"/>
      <c r="N349" s="113"/>
      <c r="O349" s="113"/>
      <c r="P349" s="113"/>
      <c r="AC349" s="117"/>
      <c r="AD349" s="118"/>
    </row>
    <row r="350" ht="15.75" customHeight="1">
      <c r="M350" s="113"/>
      <c r="N350" s="113"/>
      <c r="O350" s="113"/>
      <c r="P350" s="113"/>
      <c r="AC350" s="117"/>
      <c r="AD350" s="118"/>
    </row>
    <row r="351" ht="15.75" customHeight="1">
      <c r="M351" s="113"/>
      <c r="N351" s="113"/>
      <c r="O351" s="113"/>
      <c r="P351" s="113"/>
      <c r="AC351" s="117"/>
      <c r="AD351" s="118"/>
    </row>
    <row r="352" ht="15.75" customHeight="1">
      <c r="M352" s="113"/>
      <c r="N352" s="113"/>
      <c r="O352" s="113"/>
      <c r="P352" s="113"/>
      <c r="AC352" s="117"/>
      <c r="AD352" s="118"/>
    </row>
    <row r="353" ht="15.75" customHeight="1">
      <c r="M353" s="113"/>
      <c r="N353" s="113"/>
      <c r="O353" s="113"/>
      <c r="P353" s="113"/>
      <c r="AC353" s="117"/>
      <c r="AD353" s="118"/>
    </row>
    <row r="354" ht="15.75" customHeight="1">
      <c r="M354" s="113"/>
      <c r="N354" s="113"/>
      <c r="O354" s="113"/>
      <c r="P354" s="113"/>
      <c r="AC354" s="117"/>
      <c r="AD354" s="118"/>
    </row>
    <row r="355" ht="15.75" customHeight="1">
      <c r="M355" s="113"/>
      <c r="N355" s="113"/>
      <c r="O355" s="113"/>
      <c r="P355" s="113"/>
      <c r="AC355" s="117"/>
      <c r="AD355" s="118"/>
    </row>
    <row r="356" ht="15.75" customHeight="1">
      <c r="M356" s="113"/>
      <c r="N356" s="113"/>
      <c r="O356" s="113"/>
      <c r="P356" s="113"/>
      <c r="AC356" s="117"/>
      <c r="AD356" s="118"/>
    </row>
    <row r="357" ht="15.75" customHeight="1">
      <c r="M357" s="113"/>
      <c r="N357" s="113"/>
      <c r="O357" s="113"/>
      <c r="P357" s="113"/>
      <c r="AC357" s="117"/>
      <c r="AD357" s="118"/>
    </row>
    <row r="358" ht="15.75" customHeight="1">
      <c r="M358" s="113"/>
      <c r="N358" s="113"/>
      <c r="O358" s="113"/>
      <c r="P358" s="113"/>
      <c r="AC358" s="117"/>
      <c r="AD358" s="118"/>
    </row>
    <row r="359" ht="15.75" customHeight="1">
      <c r="M359" s="113"/>
      <c r="N359" s="113"/>
      <c r="O359" s="113"/>
      <c r="P359" s="113"/>
      <c r="AC359" s="117"/>
      <c r="AD359" s="118"/>
    </row>
    <row r="360" ht="15.75" customHeight="1">
      <c r="M360" s="113"/>
      <c r="N360" s="113"/>
      <c r="O360" s="113"/>
      <c r="P360" s="113"/>
      <c r="AC360" s="117"/>
      <c r="AD360" s="118"/>
    </row>
    <row r="361" ht="15.75" customHeight="1">
      <c r="M361" s="113"/>
      <c r="N361" s="113"/>
      <c r="O361" s="113"/>
      <c r="P361" s="113"/>
      <c r="AC361" s="117"/>
      <c r="AD361" s="118"/>
    </row>
    <row r="362" ht="15.75" customHeight="1">
      <c r="M362" s="113"/>
      <c r="N362" s="113"/>
      <c r="O362" s="113"/>
      <c r="P362" s="113"/>
      <c r="AC362" s="117"/>
      <c r="AD362" s="118"/>
    </row>
    <row r="363" ht="15.75" customHeight="1">
      <c r="M363" s="113"/>
      <c r="N363" s="113"/>
      <c r="O363" s="113"/>
      <c r="P363" s="113"/>
      <c r="AC363" s="117"/>
      <c r="AD363" s="118"/>
    </row>
    <row r="364" ht="15.75" customHeight="1">
      <c r="M364" s="113"/>
      <c r="N364" s="113"/>
      <c r="O364" s="113"/>
      <c r="P364" s="113"/>
      <c r="AC364" s="117"/>
      <c r="AD364" s="118"/>
    </row>
    <row r="365" ht="15.75" customHeight="1">
      <c r="M365" s="113"/>
      <c r="N365" s="113"/>
      <c r="O365" s="113"/>
      <c r="P365" s="113"/>
      <c r="AC365" s="117"/>
      <c r="AD365" s="118"/>
    </row>
    <row r="366" ht="15.75" customHeight="1">
      <c r="M366" s="113"/>
      <c r="N366" s="113"/>
      <c r="O366" s="113"/>
      <c r="P366" s="113"/>
      <c r="AC366" s="117"/>
      <c r="AD366" s="118"/>
    </row>
    <row r="367" ht="15.75" customHeight="1">
      <c r="M367" s="113"/>
      <c r="N367" s="113"/>
      <c r="O367" s="113"/>
      <c r="P367" s="113"/>
      <c r="AC367" s="117"/>
      <c r="AD367" s="118"/>
    </row>
    <row r="368" ht="15.75" customHeight="1">
      <c r="M368" s="113"/>
      <c r="N368" s="113"/>
      <c r="O368" s="113"/>
      <c r="P368" s="113"/>
      <c r="AC368" s="117"/>
      <c r="AD368" s="118"/>
    </row>
    <row r="369" ht="15.75" customHeight="1">
      <c r="M369" s="113"/>
      <c r="N369" s="113"/>
      <c r="O369" s="113"/>
      <c r="P369" s="113"/>
      <c r="AC369" s="117"/>
      <c r="AD369" s="118"/>
    </row>
    <row r="370" ht="15.75" customHeight="1">
      <c r="M370" s="113"/>
      <c r="N370" s="113"/>
      <c r="O370" s="113"/>
      <c r="P370" s="113"/>
      <c r="AC370" s="117"/>
      <c r="AD370" s="118"/>
    </row>
    <row r="371" ht="15.75" customHeight="1">
      <c r="M371" s="113"/>
      <c r="N371" s="113"/>
      <c r="O371" s="113"/>
      <c r="P371" s="113"/>
      <c r="AC371" s="117"/>
      <c r="AD371" s="118"/>
    </row>
    <row r="372" ht="15.75" customHeight="1">
      <c r="M372" s="113"/>
      <c r="N372" s="113"/>
      <c r="O372" s="113"/>
      <c r="P372" s="113"/>
      <c r="AC372" s="117"/>
      <c r="AD372" s="118"/>
    </row>
    <row r="373" ht="15.75" customHeight="1">
      <c r="M373" s="113"/>
      <c r="N373" s="113"/>
      <c r="O373" s="113"/>
      <c r="P373" s="113"/>
      <c r="AC373" s="117"/>
      <c r="AD373" s="118"/>
    </row>
    <row r="374" ht="15.75" customHeight="1">
      <c r="M374" s="113"/>
      <c r="N374" s="113"/>
      <c r="O374" s="113"/>
      <c r="P374" s="113"/>
      <c r="AC374" s="117"/>
      <c r="AD374" s="118"/>
    </row>
    <row r="375" ht="15.75" customHeight="1">
      <c r="M375" s="113"/>
      <c r="N375" s="113"/>
      <c r="O375" s="113"/>
      <c r="P375" s="113"/>
      <c r="AC375" s="117"/>
      <c r="AD375" s="118"/>
    </row>
    <row r="376" ht="15.75" customHeight="1">
      <c r="M376" s="113"/>
      <c r="N376" s="113"/>
      <c r="O376" s="113"/>
      <c r="P376" s="113"/>
      <c r="AC376" s="117"/>
      <c r="AD376" s="118"/>
    </row>
    <row r="377" ht="15.75" customHeight="1">
      <c r="M377" s="113"/>
      <c r="N377" s="113"/>
      <c r="O377" s="113"/>
      <c r="P377" s="113"/>
      <c r="AC377" s="117"/>
      <c r="AD377" s="118"/>
    </row>
    <row r="378" ht="15.75" customHeight="1">
      <c r="M378" s="113"/>
      <c r="N378" s="113"/>
      <c r="O378" s="113"/>
      <c r="P378" s="113"/>
      <c r="AC378" s="117"/>
      <c r="AD378" s="118"/>
    </row>
    <row r="379" ht="15.75" customHeight="1">
      <c r="M379" s="113"/>
      <c r="N379" s="113"/>
      <c r="O379" s="113"/>
      <c r="P379" s="113"/>
      <c r="AC379" s="117"/>
      <c r="AD379" s="118"/>
    </row>
    <row r="380" ht="15.75" customHeight="1">
      <c r="M380" s="113"/>
      <c r="N380" s="113"/>
      <c r="O380" s="113"/>
      <c r="P380" s="113"/>
      <c r="AC380" s="117"/>
      <c r="AD380" s="118"/>
    </row>
    <row r="381" ht="15.75" customHeight="1">
      <c r="M381" s="113"/>
      <c r="N381" s="113"/>
      <c r="O381" s="113"/>
      <c r="P381" s="113"/>
      <c r="AC381" s="117"/>
      <c r="AD381" s="118"/>
    </row>
    <row r="382" ht="15.75" customHeight="1">
      <c r="M382" s="113"/>
      <c r="N382" s="113"/>
      <c r="O382" s="113"/>
      <c r="P382" s="113"/>
      <c r="AC382" s="117"/>
      <c r="AD382" s="118"/>
    </row>
    <row r="383" ht="15.75" customHeight="1">
      <c r="M383" s="113"/>
      <c r="N383" s="113"/>
      <c r="O383" s="113"/>
      <c r="P383" s="113"/>
      <c r="AC383" s="117"/>
      <c r="AD383" s="118"/>
    </row>
    <row r="384" ht="15.75" customHeight="1">
      <c r="M384" s="113"/>
      <c r="N384" s="113"/>
      <c r="O384" s="113"/>
      <c r="P384" s="113"/>
      <c r="AC384" s="117"/>
      <c r="AD384" s="118"/>
    </row>
    <row r="385" ht="15.75" customHeight="1">
      <c r="M385" s="113"/>
      <c r="N385" s="113"/>
      <c r="O385" s="113"/>
      <c r="P385" s="113"/>
      <c r="AC385" s="117"/>
      <c r="AD385" s="118"/>
    </row>
    <row r="386" ht="15.75" customHeight="1">
      <c r="M386" s="113"/>
      <c r="N386" s="113"/>
      <c r="O386" s="113"/>
      <c r="P386" s="113"/>
      <c r="AC386" s="117"/>
      <c r="AD386" s="118"/>
    </row>
    <row r="387" ht="15.75" customHeight="1">
      <c r="M387" s="113"/>
      <c r="N387" s="113"/>
      <c r="O387" s="113"/>
      <c r="P387" s="113"/>
      <c r="AC387" s="117"/>
      <c r="AD387" s="118"/>
    </row>
    <row r="388" ht="15.75" customHeight="1">
      <c r="M388" s="113"/>
      <c r="N388" s="113"/>
      <c r="O388" s="113"/>
      <c r="P388" s="113"/>
      <c r="AC388" s="117"/>
      <c r="AD388" s="118"/>
    </row>
    <row r="389" ht="15.75" customHeight="1">
      <c r="M389" s="113"/>
      <c r="N389" s="113"/>
      <c r="O389" s="113"/>
      <c r="P389" s="113"/>
      <c r="AC389" s="117"/>
      <c r="AD389" s="118"/>
    </row>
    <row r="390" ht="15.75" customHeight="1">
      <c r="M390" s="113"/>
      <c r="N390" s="113"/>
      <c r="O390" s="113"/>
      <c r="P390" s="113"/>
      <c r="AC390" s="117"/>
      <c r="AD390" s="118"/>
    </row>
    <row r="391" ht="15.75" customHeight="1">
      <c r="M391" s="113"/>
      <c r="N391" s="113"/>
      <c r="O391" s="113"/>
      <c r="P391" s="113"/>
      <c r="AC391" s="117"/>
      <c r="AD391" s="118"/>
    </row>
    <row r="392" ht="15.75" customHeight="1">
      <c r="M392" s="113"/>
      <c r="N392" s="113"/>
      <c r="O392" s="113"/>
      <c r="P392" s="113"/>
      <c r="AC392" s="117"/>
      <c r="AD392" s="118"/>
    </row>
    <row r="393" ht="15.75" customHeight="1">
      <c r="M393" s="113"/>
      <c r="N393" s="113"/>
      <c r="O393" s="113"/>
      <c r="P393" s="113"/>
      <c r="AC393" s="117"/>
      <c r="AD393" s="118"/>
    </row>
    <row r="394" ht="15.75" customHeight="1">
      <c r="M394" s="113"/>
      <c r="N394" s="113"/>
      <c r="O394" s="113"/>
      <c r="P394" s="113"/>
      <c r="AC394" s="117"/>
      <c r="AD394" s="118"/>
    </row>
    <row r="395" ht="15.75" customHeight="1">
      <c r="M395" s="113"/>
      <c r="N395" s="113"/>
      <c r="O395" s="113"/>
      <c r="P395" s="113"/>
      <c r="AC395" s="117"/>
      <c r="AD395" s="118"/>
    </row>
    <row r="396" ht="15.75" customHeight="1">
      <c r="M396" s="113"/>
      <c r="N396" s="113"/>
      <c r="O396" s="113"/>
      <c r="P396" s="113"/>
      <c r="AC396" s="117"/>
      <c r="AD396" s="118"/>
    </row>
    <row r="397" ht="15.75" customHeight="1">
      <c r="M397" s="113"/>
      <c r="N397" s="113"/>
      <c r="O397" s="113"/>
      <c r="P397" s="113"/>
      <c r="AC397" s="117"/>
      <c r="AD397" s="118"/>
    </row>
    <row r="398" ht="15.75" customHeight="1">
      <c r="M398" s="113"/>
      <c r="N398" s="113"/>
      <c r="O398" s="113"/>
      <c r="P398" s="113"/>
      <c r="AC398" s="117"/>
      <c r="AD398" s="118"/>
    </row>
    <row r="399" ht="15.75" customHeight="1">
      <c r="M399" s="113"/>
      <c r="N399" s="113"/>
      <c r="O399" s="113"/>
      <c r="P399" s="113"/>
      <c r="AC399" s="117"/>
      <c r="AD399" s="118"/>
    </row>
    <row r="400" ht="15.75" customHeight="1">
      <c r="M400" s="113"/>
      <c r="N400" s="113"/>
      <c r="O400" s="113"/>
      <c r="P400" s="113"/>
      <c r="AC400" s="117"/>
      <c r="AD400" s="118"/>
    </row>
    <row r="401" ht="15.75" customHeight="1">
      <c r="M401" s="113"/>
      <c r="N401" s="113"/>
      <c r="O401" s="113"/>
      <c r="P401" s="113"/>
      <c r="AC401" s="117"/>
      <c r="AD401" s="118"/>
    </row>
    <row r="402" ht="15.75" customHeight="1">
      <c r="M402" s="113"/>
      <c r="N402" s="113"/>
      <c r="O402" s="113"/>
      <c r="P402" s="113"/>
      <c r="AC402" s="117"/>
      <c r="AD402" s="118"/>
    </row>
    <row r="403" ht="15.75" customHeight="1">
      <c r="M403" s="113"/>
      <c r="N403" s="113"/>
      <c r="O403" s="113"/>
      <c r="P403" s="113"/>
      <c r="AC403" s="117"/>
      <c r="AD403" s="118"/>
    </row>
    <row r="404" ht="15.75" customHeight="1">
      <c r="M404" s="113"/>
      <c r="N404" s="113"/>
      <c r="O404" s="113"/>
      <c r="P404" s="113"/>
      <c r="AC404" s="117"/>
      <c r="AD404" s="118"/>
    </row>
    <row r="405" ht="15.75" customHeight="1">
      <c r="M405" s="113"/>
      <c r="N405" s="113"/>
      <c r="O405" s="113"/>
      <c r="P405" s="113"/>
      <c r="AC405" s="117"/>
      <c r="AD405" s="118"/>
    </row>
    <row r="406" ht="15.75" customHeight="1">
      <c r="M406" s="113"/>
      <c r="N406" s="113"/>
      <c r="O406" s="113"/>
      <c r="P406" s="113"/>
      <c r="AC406" s="117"/>
      <c r="AD406" s="118"/>
    </row>
    <row r="407" ht="15.75" customHeight="1">
      <c r="M407" s="113"/>
      <c r="N407" s="113"/>
      <c r="O407" s="113"/>
      <c r="P407" s="113"/>
      <c r="AC407" s="117"/>
      <c r="AD407" s="118"/>
    </row>
    <row r="408" ht="15.75" customHeight="1">
      <c r="M408" s="113"/>
      <c r="N408" s="113"/>
      <c r="O408" s="113"/>
      <c r="P408" s="113"/>
      <c r="AC408" s="117"/>
      <c r="AD408" s="118"/>
    </row>
    <row r="409" ht="15.75" customHeight="1">
      <c r="M409" s="113"/>
      <c r="N409" s="113"/>
      <c r="O409" s="113"/>
      <c r="P409" s="113"/>
      <c r="AC409" s="117"/>
      <c r="AD409" s="118"/>
    </row>
    <row r="410" ht="15.75" customHeight="1">
      <c r="M410" s="113"/>
      <c r="N410" s="113"/>
      <c r="O410" s="113"/>
      <c r="P410" s="113"/>
      <c r="AC410" s="117"/>
      <c r="AD410" s="118"/>
    </row>
    <row r="411" ht="15.75" customHeight="1">
      <c r="M411" s="113"/>
      <c r="N411" s="113"/>
      <c r="O411" s="113"/>
      <c r="P411" s="113"/>
      <c r="AC411" s="117"/>
      <c r="AD411" s="118"/>
    </row>
    <row r="412" ht="15.75" customHeight="1">
      <c r="M412" s="113"/>
      <c r="N412" s="113"/>
      <c r="O412" s="113"/>
      <c r="P412" s="113"/>
      <c r="AC412" s="117"/>
      <c r="AD412" s="118"/>
    </row>
    <row r="413" ht="15.75" customHeight="1">
      <c r="M413" s="113"/>
      <c r="N413" s="113"/>
      <c r="O413" s="113"/>
      <c r="P413" s="113"/>
      <c r="AC413" s="117"/>
      <c r="AD413" s="118"/>
    </row>
    <row r="414" ht="15.75" customHeight="1">
      <c r="M414" s="113"/>
      <c r="N414" s="113"/>
      <c r="O414" s="113"/>
      <c r="P414" s="113"/>
      <c r="AC414" s="117"/>
      <c r="AD414" s="118"/>
    </row>
    <row r="415" ht="15.75" customHeight="1">
      <c r="M415" s="113"/>
      <c r="N415" s="113"/>
      <c r="O415" s="113"/>
      <c r="P415" s="113"/>
      <c r="AC415" s="117"/>
      <c r="AD415" s="118"/>
    </row>
    <row r="416" ht="15.75" customHeight="1">
      <c r="M416" s="113"/>
      <c r="N416" s="113"/>
      <c r="O416" s="113"/>
      <c r="P416" s="113"/>
      <c r="AC416" s="117"/>
      <c r="AD416" s="118"/>
    </row>
    <row r="417" ht="15.75" customHeight="1">
      <c r="M417" s="113"/>
      <c r="N417" s="113"/>
      <c r="O417" s="113"/>
      <c r="P417" s="113"/>
      <c r="AC417" s="117"/>
      <c r="AD417" s="118"/>
    </row>
    <row r="418" ht="15.75" customHeight="1">
      <c r="M418" s="113"/>
      <c r="N418" s="113"/>
      <c r="O418" s="113"/>
      <c r="P418" s="113"/>
      <c r="AC418" s="117"/>
      <c r="AD418" s="118"/>
    </row>
    <row r="419" ht="15.75" customHeight="1">
      <c r="M419" s="113"/>
      <c r="N419" s="113"/>
      <c r="O419" s="113"/>
      <c r="P419" s="113"/>
      <c r="AC419" s="117"/>
      <c r="AD419" s="118"/>
    </row>
    <row r="420" ht="15.75" customHeight="1">
      <c r="M420" s="113"/>
      <c r="N420" s="113"/>
      <c r="O420" s="113"/>
      <c r="P420" s="113"/>
      <c r="AC420" s="117"/>
      <c r="AD420" s="118"/>
    </row>
    <row r="421" ht="15.75" customHeight="1">
      <c r="M421" s="113"/>
      <c r="N421" s="113"/>
      <c r="O421" s="113"/>
      <c r="P421" s="113"/>
      <c r="AC421" s="117"/>
      <c r="AD421" s="118"/>
    </row>
    <row r="422" ht="15.75" customHeight="1">
      <c r="M422" s="113"/>
      <c r="N422" s="113"/>
      <c r="O422" s="113"/>
      <c r="P422" s="113"/>
      <c r="AC422" s="117"/>
      <c r="AD422" s="118"/>
    </row>
    <row r="423" ht="15.75" customHeight="1">
      <c r="M423" s="113"/>
      <c r="N423" s="113"/>
      <c r="O423" s="113"/>
      <c r="P423" s="113"/>
      <c r="AC423" s="117"/>
      <c r="AD423" s="118"/>
    </row>
    <row r="424" ht="15.75" customHeight="1">
      <c r="M424" s="113"/>
      <c r="N424" s="113"/>
      <c r="O424" s="113"/>
      <c r="P424" s="113"/>
      <c r="AC424" s="117"/>
      <c r="AD424" s="118"/>
    </row>
    <row r="425" ht="15.75" customHeight="1">
      <c r="M425" s="113"/>
      <c r="N425" s="113"/>
      <c r="O425" s="113"/>
      <c r="P425" s="113"/>
      <c r="AC425" s="117"/>
      <c r="AD425" s="118"/>
    </row>
    <row r="426" ht="15.75" customHeight="1">
      <c r="M426" s="113"/>
      <c r="N426" s="113"/>
      <c r="O426" s="113"/>
      <c r="P426" s="113"/>
      <c r="AC426" s="117"/>
      <c r="AD426" s="118"/>
    </row>
    <row r="427" ht="15.75" customHeight="1">
      <c r="M427" s="113"/>
      <c r="N427" s="113"/>
      <c r="O427" s="113"/>
      <c r="P427" s="113"/>
      <c r="AC427" s="117"/>
      <c r="AD427" s="118"/>
    </row>
    <row r="428" ht="15.75" customHeight="1">
      <c r="M428" s="113"/>
      <c r="N428" s="113"/>
      <c r="O428" s="113"/>
      <c r="P428" s="113"/>
      <c r="AC428" s="117"/>
      <c r="AD428" s="118"/>
    </row>
    <row r="429" ht="15.75" customHeight="1">
      <c r="M429" s="113"/>
      <c r="N429" s="113"/>
      <c r="O429" s="113"/>
      <c r="P429" s="113"/>
      <c r="AC429" s="117"/>
      <c r="AD429" s="118"/>
    </row>
    <row r="430" ht="15.75" customHeight="1">
      <c r="M430" s="113"/>
      <c r="N430" s="113"/>
      <c r="O430" s="113"/>
      <c r="P430" s="113"/>
      <c r="AC430" s="117"/>
      <c r="AD430" s="118"/>
    </row>
    <row r="431" ht="15.75" customHeight="1">
      <c r="M431" s="113"/>
      <c r="N431" s="113"/>
      <c r="O431" s="113"/>
      <c r="P431" s="113"/>
      <c r="AC431" s="117"/>
      <c r="AD431" s="118"/>
    </row>
    <row r="432" ht="15.75" customHeight="1">
      <c r="M432" s="113"/>
      <c r="N432" s="113"/>
      <c r="O432" s="113"/>
      <c r="P432" s="113"/>
      <c r="AC432" s="117"/>
      <c r="AD432" s="118"/>
    </row>
    <row r="433" ht="15.75" customHeight="1">
      <c r="M433" s="113"/>
      <c r="N433" s="113"/>
      <c r="O433" s="113"/>
      <c r="P433" s="113"/>
      <c r="AC433" s="117"/>
      <c r="AD433" s="118"/>
    </row>
    <row r="434" ht="15.75" customHeight="1">
      <c r="M434" s="113"/>
      <c r="N434" s="113"/>
      <c r="O434" s="113"/>
      <c r="P434" s="113"/>
      <c r="AC434" s="117"/>
      <c r="AD434" s="118"/>
    </row>
    <row r="435" ht="15.75" customHeight="1">
      <c r="M435" s="113"/>
      <c r="N435" s="113"/>
      <c r="O435" s="113"/>
      <c r="P435" s="113"/>
      <c r="AC435" s="117"/>
      <c r="AD435" s="118"/>
    </row>
    <row r="436" ht="15.75" customHeight="1">
      <c r="M436" s="113"/>
      <c r="N436" s="113"/>
      <c r="O436" s="113"/>
      <c r="P436" s="113"/>
      <c r="AC436" s="117"/>
      <c r="AD436" s="118"/>
    </row>
    <row r="437" ht="15.75" customHeight="1">
      <c r="M437" s="113"/>
      <c r="N437" s="113"/>
      <c r="O437" s="113"/>
      <c r="P437" s="113"/>
      <c r="AC437" s="117"/>
      <c r="AD437" s="118"/>
    </row>
    <row r="438" ht="15.75" customHeight="1">
      <c r="M438" s="113"/>
      <c r="N438" s="113"/>
      <c r="O438" s="113"/>
      <c r="P438" s="113"/>
      <c r="AC438" s="117"/>
      <c r="AD438" s="118"/>
    </row>
    <row r="439" ht="15.75" customHeight="1">
      <c r="M439" s="113"/>
      <c r="N439" s="113"/>
      <c r="O439" s="113"/>
      <c r="P439" s="113"/>
      <c r="AC439" s="117"/>
      <c r="AD439" s="118"/>
    </row>
    <row r="440" ht="15.75" customHeight="1">
      <c r="M440" s="113"/>
      <c r="N440" s="113"/>
      <c r="O440" s="113"/>
      <c r="P440" s="113"/>
      <c r="AC440" s="117"/>
      <c r="AD440" s="118"/>
    </row>
    <row r="441" ht="15.75" customHeight="1">
      <c r="M441" s="113"/>
      <c r="N441" s="113"/>
      <c r="O441" s="113"/>
      <c r="P441" s="113"/>
      <c r="AC441" s="117"/>
      <c r="AD441" s="118"/>
    </row>
    <row r="442" ht="15.75" customHeight="1">
      <c r="M442" s="113"/>
      <c r="N442" s="113"/>
      <c r="O442" s="113"/>
      <c r="P442" s="113"/>
      <c r="AC442" s="117"/>
      <c r="AD442" s="118"/>
    </row>
    <row r="443" ht="15.75" customHeight="1">
      <c r="M443" s="113"/>
      <c r="N443" s="113"/>
      <c r="O443" s="113"/>
      <c r="P443" s="113"/>
      <c r="AC443" s="117"/>
      <c r="AD443" s="118"/>
    </row>
    <row r="444" ht="15.75" customHeight="1">
      <c r="M444" s="113"/>
      <c r="N444" s="113"/>
      <c r="O444" s="113"/>
      <c r="P444" s="113"/>
      <c r="AC444" s="117"/>
      <c r="AD444" s="118"/>
    </row>
    <row r="445" ht="15.75" customHeight="1">
      <c r="M445" s="113"/>
      <c r="N445" s="113"/>
      <c r="O445" s="113"/>
      <c r="P445" s="113"/>
      <c r="AC445" s="117"/>
      <c r="AD445" s="118"/>
    </row>
    <row r="446" ht="15.75" customHeight="1">
      <c r="M446" s="113"/>
      <c r="N446" s="113"/>
      <c r="O446" s="113"/>
      <c r="P446" s="113"/>
      <c r="AC446" s="117"/>
      <c r="AD446" s="118"/>
    </row>
    <row r="447" ht="15.75" customHeight="1">
      <c r="M447" s="113"/>
      <c r="N447" s="113"/>
      <c r="O447" s="113"/>
      <c r="P447" s="113"/>
      <c r="AC447" s="117"/>
      <c r="AD447" s="118"/>
    </row>
    <row r="448" ht="15.75" customHeight="1">
      <c r="M448" s="113"/>
      <c r="N448" s="113"/>
      <c r="O448" s="113"/>
      <c r="P448" s="113"/>
      <c r="AC448" s="117"/>
      <c r="AD448" s="118"/>
    </row>
    <row r="449" ht="15.75" customHeight="1">
      <c r="M449" s="113"/>
      <c r="N449" s="113"/>
      <c r="O449" s="113"/>
      <c r="P449" s="113"/>
      <c r="AC449" s="117"/>
      <c r="AD449" s="118"/>
    </row>
    <row r="450" ht="15.75" customHeight="1">
      <c r="M450" s="113"/>
      <c r="N450" s="113"/>
      <c r="O450" s="113"/>
      <c r="P450" s="113"/>
      <c r="AC450" s="117"/>
      <c r="AD450" s="118"/>
    </row>
    <row r="451" ht="15.75" customHeight="1">
      <c r="M451" s="113"/>
      <c r="N451" s="113"/>
      <c r="O451" s="113"/>
      <c r="P451" s="113"/>
      <c r="AC451" s="117"/>
      <c r="AD451" s="118"/>
    </row>
    <row r="452" ht="15.75" customHeight="1">
      <c r="M452" s="113"/>
      <c r="N452" s="113"/>
      <c r="O452" s="113"/>
      <c r="P452" s="113"/>
      <c r="AC452" s="117"/>
      <c r="AD452" s="118"/>
    </row>
    <row r="453" ht="15.75" customHeight="1">
      <c r="M453" s="113"/>
      <c r="N453" s="113"/>
      <c r="O453" s="113"/>
      <c r="P453" s="113"/>
      <c r="AC453" s="117"/>
      <c r="AD453" s="118"/>
    </row>
    <row r="454" ht="15.75" customHeight="1">
      <c r="M454" s="113"/>
      <c r="N454" s="113"/>
      <c r="O454" s="113"/>
      <c r="P454" s="113"/>
      <c r="AC454" s="117"/>
      <c r="AD454" s="118"/>
    </row>
    <row r="455" ht="15.75" customHeight="1">
      <c r="M455" s="113"/>
      <c r="N455" s="113"/>
      <c r="O455" s="113"/>
      <c r="P455" s="113"/>
      <c r="AC455" s="117"/>
      <c r="AD455" s="118"/>
    </row>
    <row r="456" ht="15.75" customHeight="1">
      <c r="M456" s="113"/>
      <c r="N456" s="113"/>
      <c r="O456" s="113"/>
      <c r="P456" s="113"/>
      <c r="AC456" s="117"/>
      <c r="AD456" s="118"/>
    </row>
    <row r="457" ht="15.75" customHeight="1">
      <c r="M457" s="113"/>
      <c r="N457" s="113"/>
      <c r="O457" s="113"/>
      <c r="P457" s="113"/>
      <c r="AC457" s="117"/>
      <c r="AD457" s="118"/>
    </row>
    <row r="458" ht="15.75" customHeight="1">
      <c r="M458" s="113"/>
      <c r="N458" s="113"/>
      <c r="O458" s="113"/>
      <c r="P458" s="113"/>
      <c r="AC458" s="117"/>
      <c r="AD458" s="118"/>
    </row>
    <row r="459" ht="15.75" customHeight="1">
      <c r="M459" s="113"/>
      <c r="N459" s="113"/>
      <c r="O459" s="113"/>
      <c r="P459" s="113"/>
      <c r="AC459" s="117"/>
      <c r="AD459" s="118"/>
    </row>
    <row r="460" ht="15.75" customHeight="1">
      <c r="M460" s="113"/>
      <c r="N460" s="113"/>
      <c r="O460" s="113"/>
      <c r="P460" s="113"/>
      <c r="AC460" s="117"/>
      <c r="AD460" s="118"/>
    </row>
    <row r="461" ht="15.75" customHeight="1">
      <c r="M461" s="113"/>
      <c r="N461" s="113"/>
      <c r="O461" s="113"/>
      <c r="P461" s="113"/>
      <c r="AC461" s="117"/>
      <c r="AD461" s="118"/>
    </row>
    <row r="462" ht="15.75" customHeight="1">
      <c r="M462" s="113"/>
      <c r="N462" s="113"/>
      <c r="O462" s="113"/>
      <c r="P462" s="113"/>
      <c r="AC462" s="117"/>
      <c r="AD462" s="118"/>
    </row>
    <row r="463" ht="15.75" customHeight="1">
      <c r="M463" s="113"/>
      <c r="N463" s="113"/>
      <c r="O463" s="113"/>
      <c r="P463" s="113"/>
      <c r="AC463" s="117"/>
      <c r="AD463" s="118"/>
    </row>
    <row r="464" ht="15.75" customHeight="1">
      <c r="M464" s="113"/>
      <c r="N464" s="113"/>
      <c r="O464" s="113"/>
      <c r="P464" s="113"/>
      <c r="AC464" s="117"/>
      <c r="AD464" s="118"/>
    </row>
    <row r="465" ht="15.75" customHeight="1">
      <c r="M465" s="113"/>
      <c r="N465" s="113"/>
      <c r="O465" s="113"/>
      <c r="P465" s="113"/>
      <c r="AC465" s="117"/>
      <c r="AD465" s="118"/>
    </row>
    <row r="466" ht="15.75" customHeight="1">
      <c r="M466" s="113"/>
      <c r="N466" s="113"/>
      <c r="O466" s="113"/>
      <c r="P466" s="113"/>
      <c r="AC466" s="117"/>
      <c r="AD466" s="118"/>
    </row>
    <row r="467" ht="15.75" customHeight="1">
      <c r="M467" s="113"/>
      <c r="N467" s="113"/>
      <c r="O467" s="113"/>
      <c r="P467" s="113"/>
      <c r="AC467" s="117"/>
      <c r="AD467" s="118"/>
    </row>
    <row r="468" ht="15.75" customHeight="1">
      <c r="M468" s="113"/>
      <c r="N468" s="113"/>
      <c r="O468" s="113"/>
      <c r="P468" s="113"/>
      <c r="AC468" s="117"/>
      <c r="AD468" s="118"/>
    </row>
    <row r="469" ht="15.75" customHeight="1">
      <c r="M469" s="113"/>
      <c r="N469" s="113"/>
      <c r="O469" s="113"/>
      <c r="P469" s="113"/>
      <c r="AC469" s="117"/>
      <c r="AD469" s="118"/>
    </row>
    <row r="470" ht="15.75" customHeight="1">
      <c r="M470" s="113"/>
      <c r="N470" s="113"/>
      <c r="O470" s="113"/>
      <c r="P470" s="113"/>
      <c r="AC470" s="117"/>
      <c r="AD470" s="118"/>
    </row>
    <row r="471" ht="15.75" customHeight="1">
      <c r="M471" s="113"/>
      <c r="N471" s="113"/>
      <c r="O471" s="113"/>
      <c r="P471" s="113"/>
      <c r="AC471" s="117"/>
      <c r="AD471" s="118"/>
    </row>
    <row r="472" ht="15.75" customHeight="1">
      <c r="M472" s="113"/>
      <c r="N472" s="113"/>
      <c r="O472" s="113"/>
      <c r="P472" s="113"/>
      <c r="AC472" s="117"/>
      <c r="AD472" s="118"/>
    </row>
    <row r="473" ht="15.75" customHeight="1">
      <c r="M473" s="113"/>
      <c r="N473" s="113"/>
      <c r="O473" s="113"/>
      <c r="P473" s="113"/>
      <c r="AC473" s="117"/>
      <c r="AD473" s="118"/>
    </row>
    <row r="474" ht="15.75" customHeight="1">
      <c r="M474" s="113"/>
      <c r="N474" s="113"/>
      <c r="O474" s="113"/>
      <c r="P474" s="113"/>
      <c r="AC474" s="117"/>
      <c r="AD474" s="118"/>
    </row>
    <row r="475" ht="15.75" customHeight="1">
      <c r="M475" s="113"/>
      <c r="N475" s="113"/>
      <c r="O475" s="113"/>
      <c r="P475" s="113"/>
      <c r="AC475" s="117"/>
      <c r="AD475" s="118"/>
    </row>
    <row r="476" ht="15.75" customHeight="1">
      <c r="M476" s="113"/>
      <c r="N476" s="113"/>
      <c r="O476" s="113"/>
      <c r="P476" s="113"/>
      <c r="AC476" s="117"/>
      <c r="AD476" s="118"/>
    </row>
    <row r="477" ht="15.75" customHeight="1">
      <c r="M477" s="113"/>
      <c r="N477" s="113"/>
      <c r="O477" s="113"/>
      <c r="P477" s="113"/>
      <c r="AC477" s="117"/>
      <c r="AD477" s="118"/>
    </row>
    <row r="478" ht="15.75" customHeight="1">
      <c r="M478" s="113"/>
      <c r="N478" s="113"/>
      <c r="O478" s="113"/>
      <c r="P478" s="113"/>
      <c r="AC478" s="117"/>
      <c r="AD478" s="118"/>
    </row>
    <row r="479" ht="15.75" customHeight="1">
      <c r="M479" s="113"/>
      <c r="N479" s="113"/>
      <c r="O479" s="113"/>
      <c r="P479" s="113"/>
      <c r="AC479" s="117"/>
      <c r="AD479" s="118"/>
    </row>
    <row r="480" ht="15.75" customHeight="1">
      <c r="M480" s="113"/>
      <c r="N480" s="113"/>
      <c r="O480" s="113"/>
      <c r="P480" s="113"/>
      <c r="AC480" s="117"/>
      <c r="AD480" s="118"/>
    </row>
    <row r="481" ht="15.75" customHeight="1">
      <c r="M481" s="113"/>
      <c r="N481" s="113"/>
      <c r="O481" s="113"/>
      <c r="P481" s="113"/>
      <c r="AC481" s="117"/>
      <c r="AD481" s="118"/>
    </row>
    <row r="482" ht="15.75" customHeight="1">
      <c r="M482" s="113"/>
      <c r="N482" s="113"/>
      <c r="O482" s="113"/>
      <c r="P482" s="113"/>
      <c r="AC482" s="117"/>
      <c r="AD482" s="118"/>
    </row>
    <row r="483" ht="15.75" customHeight="1">
      <c r="M483" s="113"/>
      <c r="N483" s="113"/>
      <c r="O483" s="113"/>
      <c r="P483" s="113"/>
      <c r="AC483" s="117"/>
      <c r="AD483" s="118"/>
    </row>
    <row r="484" ht="15.75" customHeight="1">
      <c r="M484" s="113"/>
      <c r="N484" s="113"/>
      <c r="O484" s="113"/>
      <c r="P484" s="113"/>
      <c r="AC484" s="117"/>
      <c r="AD484" s="118"/>
    </row>
    <row r="485" ht="15.75" customHeight="1">
      <c r="M485" s="113"/>
      <c r="N485" s="113"/>
      <c r="O485" s="113"/>
      <c r="P485" s="113"/>
      <c r="AC485" s="117"/>
      <c r="AD485" s="118"/>
    </row>
    <row r="486" ht="15.75" customHeight="1">
      <c r="M486" s="113"/>
      <c r="N486" s="113"/>
      <c r="O486" s="113"/>
      <c r="P486" s="113"/>
      <c r="AC486" s="117"/>
      <c r="AD486" s="118"/>
    </row>
    <row r="487" ht="15.75" customHeight="1">
      <c r="M487" s="113"/>
      <c r="N487" s="113"/>
      <c r="O487" s="113"/>
      <c r="P487" s="113"/>
      <c r="AC487" s="117"/>
      <c r="AD487" s="118"/>
    </row>
    <row r="488" ht="15.75" customHeight="1">
      <c r="M488" s="113"/>
      <c r="N488" s="113"/>
      <c r="O488" s="113"/>
      <c r="P488" s="113"/>
      <c r="AC488" s="117"/>
      <c r="AD488" s="118"/>
    </row>
    <row r="489" ht="15.75" customHeight="1">
      <c r="M489" s="113"/>
      <c r="N489" s="113"/>
      <c r="O489" s="113"/>
      <c r="P489" s="113"/>
      <c r="AC489" s="117"/>
      <c r="AD489" s="118"/>
    </row>
    <row r="490" ht="15.75" customHeight="1">
      <c r="M490" s="113"/>
      <c r="N490" s="113"/>
      <c r="O490" s="113"/>
      <c r="P490" s="113"/>
      <c r="AC490" s="117"/>
      <c r="AD490" s="118"/>
    </row>
    <row r="491" ht="15.75" customHeight="1">
      <c r="M491" s="113"/>
      <c r="N491" s="113"/>
      <c r="O491" s="113"/>
      <c r="P491" s="113"/>
      <c r="AC491" s="117"/>
      <c r="AD491" s="118"/>
    </row>
    <row r="492" ht="15.75" customHeight="1">
      <c r="M492" s="113"/>
      <c r="N492" s="113"/>
      <c r="O492" s="113"/>
      <c r="P492" s="113"/>
      <c r="AC492" s="117"/>
      <c r="AD492" s="118"/>
    </row>
    <row r="493" ht="15.75" customHeight="1">
      <c r="M493" s="113"/>
      <c r="N493" s="113"/>
      <c r="O493" s="113"/>
      <c r="P493" s="113"/>
      <c r="AC493" s="117"/>
      <c r="AD493" s="118"/>
    </row>
    <row r="494" ht="15.75" customHeight="1">
      <c r="M494" s="113"/>
      <c r="N494" s="113"/>
      <c r="O494" s="113"/>
      <c r="P494" s="113"/>
      <c r="AC494" s="117"/>
      <c r="AD494" s="118"/>
    </row>
    <row r="495" ht="15.75" customHeight="1">
      <c r="M495" s="113"/>
      <c r="N495" s="113"/>
      <c r="O495" s="113"/>
      <c r="P495" s="113"/>
      <c r="AC495" s="117"/>
      <c r="AD495" s="118"/>
    </row>
    <row r="496" ht="15.75" customHeight="1">
      <c r="M496" s="113"/>
      <c r="N496" s="113"/>
      <c r="O496" s="113"/>
      <c r="P496" s="113"/>
      <c r="AC496" s="117"/>
      <c r="AD496" s="118"/>
    </row>
    <row r="497" ht="15.75" customHeight="1">
      <c r="M497" s="113"/>
      <c r="N497" s="113"/>
      <c r="O497" s="113"/>
      <c r="P497" s="113"/>
      <c r="AC497" s="117"/>
      <c r="AD497" s="118"/>
    </row>
    <row r="498" ht="15.75" customHeight="1">
      <c r="M498" s="113"/>
      <c r="N498" s="113"/>
      <c r="O498" s="113"/>
      <c r="P498" s="113"/>
      <c r="AC498" s="117"/>
      <c r="AD498" s="118"/>
    </row>
    <row r="499" ht="15.75" customHeight="1">
      <c r="M499" s="113"/>
      <c r="N499" s="113"/>
      <c r="O499" s="113"/>
      <c r="P499" s="113"/>
      <c r="AC499" s="117"/>
      <c r="AD499" s="118"/>
    </row>
    <row r="500" ht="15.75" customHeight="1">
      <c r="M500" s="113"/>
      <c r="N500" s="113"/>
      <c r="O500" s="113"/>
      <c r="P500" s="113"/>
      <c r="AC500" s="117"/>
      <c r="AD500" s="118"/>
    </row>
    <row r="501" ht="15.75" customHeight="1">
      <c r="M501" s="113"/>
      <c r="N501" s="113"/>
      <c r="O501" s="113"/>
      <c r="P501" s="113"/>
      <c r="AC501" s="117"/>
      <c r="AD501" s="118"/>
    </row>
    <row r="502" ht="15.75" customHeight="1">
      <c r="M502" s="113"/>
      <c r="N502" s="113"/>
      <c r="O502" s="113"/>
      <c r="P502" s="113"/>
      <c r="AC502" s="117"/>
      <c r="AD502" s="118"/>
    </row>
    <row r="503" ht="15.75" customHeight="1">
      <c r="M503" s="113"/>
      <c r="N503" s="113"/>
      <c r="O503" s="113"/>
      <c r="P503" s="113"/>
      <c r="AC503" s="117"/>
      <c r="AD503" s="118"/>
    </row>
    <row r="504" ht="15.75" customHeight="1">
      <c r="M504" s="113"/>
      <c r="N504" s="113"/>
      <c r="O504" s="113"/>
      <c r="P504" s="113"/>
      <c r="AC504" s="117"/>
      <c r="AD504" s="118"/>
    </row>
    <row r="505" ht="15.75" customHeight="1">
      <c r="M505" s="113"/>
      <c r="N505" s="113"/>
      <c r="O505" s="113"/>
      <c r="P505" s="113"/>
      <c r="AC505" s="117"/>
      <c r="AD505" s="118"/>
    </row>
    <row r="506" ht="15.75" customHeight="1">
      <c r="M506" s="113"/>
      <c r="N506" s="113"/>
      <c r="O506" s="113"/>
      <c r="P506" s="113"/>
      <c r="AC506" s="117"/>
      <c r="AD506" s="118"/>
    </row>
    <row r="507" ht="15.75" customHeight="1">
      <c r="M507" s="113"/>
      <c r="N507" s="113"/>
      <c r="O507" s="113"/>
      <c r="P507" s="113"/>
      <c r="AC507" s="117"/>
      <c r="AD507" s="118"/>
    </row>
    <row r="508" ht="15.75" customHeight="1">
      <c r="M508" s="113"/>
      <c r="N508" s="113"/>
      <c r="O508" s="113"/>
      <c r="P508" s="113"/>
      <c r="AC508" s="117"/>
      <c r="AD508" s="118"/>
    </row>
    <row r="509" ht="15.75" customHeight="1">
      <c r="M509" s="113"/>
      <c r="N509" s="113"/>
      <c r="O509" s="113"/>
      <c r="P509" s="113"/>
      <c r="AC509" s="117"/>
      <c r="AD509" s="118"/>
    </row>
    <row r="510" ht="15.75" customHeight="1">
      <c r="M510" s="113"/>
      <c r="N510" s="113"/>
      <c r="O510" s="113"/>
      <c r="P510" s="113"/>
      <c r="AC510" s="117"/>
      <c r="AD510" s="118"/>
    </row>
    <row r="511" ht="15.75" customHeight="1">
      <c r="M511" s="113"/>
      <c r="N511" s="113"/>
      <c r="O511" s="113"/>
      <c r="P511" s="113"/>
      <c r="AC511" s="117"/>
      <c r="AD511" s="118"/>
    </row>
    <row r="512" ht="15.75" customHeight="1">
      <c r="M512" s="113"/>
      <c r="N512" s="113"/>
      <c r="O512" s="113"/>
      <c r="P512" s="113"/>
      <c r="AC512" s="117"/>
      <c r="AD512" s="118"/>
    </row>
    <row r="513" ht="15.75" customHeight="1">
      <c r="M513" s="113"/>
      <c r="N513" s="113"/>
      <c r="O513" s="113"/>
      <c r="P513" s="113"/>
      <c r="AC513" s="117"/>
      <c r="AD513" s="118"/>
    </row>
    <row r="514" ht="15.75" customHeight="1">
      <c r="M514" s="113"/>
      <c r="N514" s="113"/>
      <c r="O514" s="113"/>
      <c r="P514" s="113"/>
      <c r="AC514" s="117"/>
      <c r="AD514" s="118"/>
    </row>
    <row r="515" ht="15.75" customHeight="1">
      <c r="M515" s="113"/>
      <c r="N515" s="113"/>
      <c r="O515" s="113"/>
      <c r="P515" s="113"/>
      <c r="AC515" s="117"/>
      <c r="AD515" s="118"/>
    </row>
    <row r="516" ht="15.75" customHeight="1">
      <c r="M516" s="113"/>
      <c r="N516" s="113"/>
      <c r="O516" s="113"/>
      <c r="P516" s="113"/>
      <c r="AC516" s="117"/>
      <c r="AD516" s="118"/>
    </row>
    <row r="517" ht="15.75" customHeight="1">
      <c r="M517" s="113"/>
      <c r="N517" s="113"/>
      <c r="O517" s="113"/>
      <c r="P517" s="113"/>
      <c r="AC517" s="117"/>
      <c r="AD517" s="118"/>
    </row>
    <row r="518" ht="15.75" customHeight="1">
      <c r="M518" s="113"/>
      <c r="N518" s="113"/>
      <c r="O518" s="113"/>
      <c r="P518" s="113"/>
      <c r="AC518" s="117"/>
      <c r="AD518" s="118"/>
    </row>
    <row r="519" ht="15.75" customHeight="1">
      <c r="M519" s="113"/>
      <c r="N519" s="113"/>
      <c r="O519" s="113"/>
      <c r="P519" s="113"/>
      <c r="AC519" s="117"/>
      <c r="AD519" s="118"/>
    </row>
    <row r="520" ht="15.75" customHeight="1">
      <c r="M520" s="113"/>
      <c r="N520" s="113"/>
      <c r="O520" s="113"/>
      <c r="P520" s="113"/>
      <c r="AC520" s="117"/>
      <c r="AD520" s="118"/>
    </row>
    <row r="521" ht="15.75" customHeight="1">
      <c r="M521" s="113"/>
      <c r="N521" s="113"/>
      <c r="O521" s="113"/>
      <c r="P521" s="113"/>
      <c r="AC521" s="117"/>
      <c r="AD521" s="118"/>
    </row>
    <row r="522" ht="15.75" customHeight="1">
      <c r="M522" s="113"/>
      <c r="N522" s="113"/>
      <c r="O522" s="113"/>
      <c r="P522" s="113"/>
      <c r="AC522" s="117"/>
      <c r="AD522" s="118"/>
    </row>
    <row r="523" ht="15.75" customHeight="1">
      <c r="M523" s="113"/>
      <c r="N523" s="113"/>
      <c r="O523" s="113"/>
      <c r="P523" s="113"/>
      <c r="AC523" s="117"/>
      <c r="AD523" s="118"/>
    </row>
    <row r="524" ht="15.75" customHeight="1">
      <c r="M524" s="113"/>
      <c r="N524" s="113"/>
      <c r="O524" s="113"/>
      <c r="P524" s="113"/>
      <c r="AC524" s="117"/>
      <c r="AD524" s="118"/>
    </row>
    <row r="525" ht="15.75" customHeight="1">
      <c r="M525" s="113"/>
      <c r="N525" s="113"/>
      <c r="O525" s="113"/>
      <c r="P525" s="113"/>
      <c r="AC525" s="117"/>
      <c r="AD525" s="118"/>
    </row>
    <row r="526" ht="15.75" customHeight="1">
      <c r="M526" s="113"/>
      <c r="N526" s="113"/>
      <c r="O526" s="113"/>
      <c r="P526" s="113"/>
      <c r="AC526" s="117"/>
      <c r="AD526" s="118"/>
    </row>
    <row r="527" ht="15.75" customHeight="1">
      <c r="M527" s="113"/>
      <c r="N527" s="113"/>
      <c r="O527" s="113"/>
      <c r="P527" s="113"/>
      <c r="AC527" s="117"/>
      <c r="AD527" s="118"/>
    </row>
    <row r="528" ht="15.75" customHeight="1">
      <c r="M528" s="113"/>
      <c r="N528" s="113"/>
      <c r="O528" s="113"/>
      <c r="P528" s="113"/>
      <c r="AC528" s="117"/>
      <c r="AD528" s="118"/>
    </row>
    <row r="529" ht="15.75" customHeight="1">
      <c r="M529" s="113"/>
      <c r="N529" s="113"/>
      <c r="O529" s="113"/>
      <c r="P529" s="113"/>
      <c r="AC529" s="117"/>
      <c r="AD529" s="118"/>
    </row>
    <row r="530" ht="15.75" customHeight="1">
      <c r="M530" s="113"/>
      <c r="N530" s="113"/>
      <c r="O530" s="113"/>
      <c r="P530" s="113"/>
      <c r="AC530" s="117"/>
      <c r="AD530" s="118"/>
    </row>
    <row r="531" ht="15.75" customHeight="1">
      <c r="M531" s="113"/>
      <c r="N531" s="113"/>
      <c r="O531" s="113"/>
      <c r="P531" s="113"/>
      <c r="AC531" s="117"/>
      <c r="AD531" s="118"/>
    </row>
    <row r="532" ht="15.75" customHeight="1">
      <c r="M532" s="113"/>
      <c r="N532" s="113"/>
      <c r="O532" s="113"/>
      <c r="P532" s="113"/>
      <c r="AC532" s="117"/>
      <c r="AD532" s="118"/>
    </row>
    <row r="533" ht="15.75" customHeight="1">
      <c r="M533" s="113"/>
      <c r="N533" s="113"/>
      <c r="O533" s="113"/>
      <c r="P533" s="113"/>
      <c r="AC533" s="117"/>
      <c r="AD533" s="118"/>
    </row>
    <row r="534" ht="15.75" customHeight="1">
      <c r="M534" s="113"/>
      <c r="N534" s="113"/>
      <c r="O534" s="113"/>
      <c r="P534" s="113"/>
      <c r="AC534" s="117"/>
      <c r="AD534" s="118"/>
    </row>
    <row r="535" ht="15.75" customHeight="1">
      <c r="M535" s="113"/>
      <c r="N535" s="113"/>
      <c r="O535" s="113"/>
      <c r="P535" s="113"/>
      <c r="AC535" s="117"/>
      <c r="AD535" s="118"/>
    </row>
    <row r="536" ht="15.75" customHeight="1">
      <c r="M536" s="113"/>
      <c r="N536" s="113"/>
      <c r="O536" s="113"/>
      <c r="P536" s="113"/>
      <c r="AC536" s="117"/>
      <c r="AD536" s="118"/>
    </row>
    <row r="537" ht="15.75" customHeight="1">
      <c r="M537" s="113"/>
      <c r="N537" s="113"/>
      <c r="O537" s="113"/>
      <c r="P537" s="113"/>
      <c r="AC537" s="117"/>
      <c r="AD537" s="118"/>
    </row>
    <row r="538" ht="15.75" customHeight="1">
      <c r="M538" s="113"/>
      <c r="N538" s="113"/>
      <c r="O538" s="113"/>
      <c r="P538" s="113"/>
      <c r="AC538" s="117"/>
      <c r="AD538" s="118"/>
    </row>
    <row r="539" ht="15.75" customHeight="1">
      <c r="M539" s="113"/>
      <c r="N539" s="113"/>
      <c r="O539" s="113"/>
      <c r="P539" s="113"/>
      <c r="AC539" s="117"/>
      <c r="AD539" s="118"/>
    </row>
    <row r="540" ht="15.75" customHeight="1">
      <c r="M540" s="113"/>
      <c r="N540" s="113"/>
      <c r="O540" s="113"/>
      <c r="P540" s="113"/>
      <c r="AC540" s="117"/>
      <c r="AD540" s="118"/>
    </row>
    <row r="541" ht="15.75" customHeight="1">
      <c r="M541" s="113"/>
      <c r="N541" s="113"/>
      <c r="O541" s="113"/>
      <c r="P541" s="113"/>
      <c r="AC541" s="117"/>
      <c r="AD541" s="118"/>
    </row>
    <row r="542" ht="15.75" customHeight="1">
      <c r="M542" s="113"/>
      <c r="N542" s="113"/>
      <c r="O542" s="113"/>
      <c r="P542" s="113"/>
      <c r="AC542" s="117"/>
      <c r="AD542" s="118"/>
    </row>
    <row r="543" ht="15.75" customHeight="1">
      <c r="M543" s="113"/>
      <c r="N543" s="113"/>
      <c r="O543" s="113"/>
      <c r="P543" s="113"/>
      <c r="AC543" s="117"/>
      <c r="AD543" s="118"/>
    </row>
    <row r="544" ht="15.75" customHeight="1">
      <c r="M544" s="113"/>
      <c r="N544" s="113"/>
      <c r="O544" s="113"/>
      <c r="P544" s="113"/>
      <c r="AC544" s="117"/>
      <c r="AD544" s="118"/>
    </row>
    <row r="545" ht="15.75" customHeight="1">
      <c r="M545" s="113"/>
      <c r="N545" s="113"/>
      <c r="O545" s="113"/>
      <c r="P545" s="113"/>
      <c r="AC545" s="117"/>
      <c r="AD545" s="118"/>
    </row>
    <row r="546" ht="15.75" customHeight="1">
      <c r="M546" s="113"/>
      <c r="N546" s="113"/>
      <c r="O546" s="113"/>
      <c r="P546" s="113"/>
      <c r="AC546" s="117"/>
      <c r="AD546" s="118"/>
    </row>
    <row r="547" ht="15.75" customHeight="1">
      <c r="M547" s="113"/>
      <c r="N547" s="113"/>
      <c r="O547" s="113"/>
      <c r="P547" s="113"/>
      <c r="AC547" s="117"/>
      <c r="AD547" s="118"/>
    </row>
    <row r="548" ht="15.75" customHeight="1">
      <c r="M548" s="113"/>
      <c r="N548" s="113"/>
      <c r="O548" s="113"/>
      <c r="P548" s="113"/>
      <c r="AC548" s="117"/>
      <c r="AD548" s="118"/>
    </row>
    <row r="549" ht="15.75" customHeight="1">
      <c r="M549" s="113"/>
      <c r="N549" s="113"/>
      <c r="O549" s="113"/>
      <c r="P549" s="113"/>
      <c r="AC549" s="117"/>
      <c r="AD549" s="118"/>
    </row>
    <row r="550" ht="15.75" customHeight="1">
      <c r="M550" s="113"/>
      <c r="N550" s="113"/>
      <c r="O550" s="113"/>
      <c r="P550" s="113"/>
      <c r="AC550" s="117"/>
      <c r="AD550" s="118"/>
    </row>
    <row r="551" ht="15.75" customHeight="1">
      <c r="M551" s="113"/>
      <c r="N551" s="113"/>
      <c r="O551" s="113"/>
      <c r="P551" s="113"/>
      <c r="AC551" s="117"/>
      <c r="AD551" s="118"/>
    </row>
    <row r="552" ht="15.75" customHeight="1">
      <c r="M552" s="113"/>
      <c r="N552" s="113"/>
      <c r="O552" s="113"/>
      <c r="P552" s="113"/>
      <c r="AC552" s="117"/>
      <c r="AD552" s="118"/>
    </row>
    <row r="553" ht="15.75" customHeight="1">
      <c r="M553" s="113"/>
      <c r="N553" s="113"/>
      <c r="O553" s="113"/>
      <c r="P553" s="113"/>
      <c r="AC553" s="117"/>
      <c r="AD553" s="118"/>
    </row>
    <row r="554" ht="15.75" customHeight="1">
      <c r="M554" s="113"/>
      <c r="N554" s="113"/>
      <c r="O554" s="113"/>
      <c r="P554" s="113"/>
      <c r="AC554" s="117"/>
      <c r="AD554" s="118"/>
    </row>
    <row r="555" ht="15.75" customHeight="1">
      <c r="M555" s="113"/>
      <c r="N555" s="113"/>
      <c r="O555" s="113"/>
      <c r="P555" s="113"/>
      <c r="AC555" s="117"/>
      <c r="AD555" s="118"/>
    </row>
    <row r="556" ht="15.75" customHeight="1">
      <c r="M556" s="113"/>
      <c r="N556" s="113"/>
      <c r="O556" s="113"/>
      <c r="P556" s="113"/>
      <c r="AC556" s="117"/>
      <c r="AD556" s="118"/>
    </row>
    <row r="557" ht="15.75" customHeight="1">
      <c r="M557" s="113"/>
      <c r="N557" s="113"/>
      <c r="O557" s="113"/>
      <c r="P557" s="113"/>
      <c r="AC557" s="117"/>
      <c r="AD557" s="118"/>
    </row>
    <row r="558" ht="15.75" customHeight="1">
      <c r="M558" s="113"/>
      <c r="N558" s="113"/>
      <c r="O558" s="113"/>
      <c r="P558" s="113"/>
      <c r="AC558" s="117"/>
      <c r="AD558" s="118"/>
    </row>
    <row r="559" ht="15.75" customHeight="1">
      <c r="M559" s="113"/>
      <c r="N559" s="113"/>
      <c r="O559" s="113"/>
      <c r="P559" s="113"/>
      <c r="AC559" s="117"/>
      <c r="AD559" s="118"/>
    </row>
    <row r="560" ht="15.75" customHeight="1">
      <c r="M560" s="113"/>
      <c r="N560" s="113"/>
      <c r="O560" s="113"/>
      <c r="P560" s="113"/>
      <c r="AC560" s="117"/>
      <c r="AD560" s="118"/>
    </row>
    <row r="561" ht="15.75" customHeight="1">
      <c r="M561" s="113"/>
      <c r="N561" s="113"/>
      <c r="O561" s="113"/>
      <c r="P561" s="113"/>
      <c r="AC561" s="117"/>
      <c r="AD561" s="118"/>
    </row>
    <row r="562" ht="15.75" customHeight="1">
      <c r="M562" s="113"/>
      <c r="N562" s="113"/>
      <c r="O562" s="113"/>
      <c r="P562" s="113"/>
      <c r="AC562" s="117"/>
      <c r="AD562" s="118"/>
    </row>
    <row r="563" ht="15.75" customHeight="1">
      <c r="M563" s="113"/>
      <c r="N563" s="113"/>
      <c r="O563" s="113"/>
      <c r="P563" s="113"/>
      <c r="AC563" s="117"/>
      <c r="AD563" s="118"/>
    </row>
    <row r="564" ht="15.75" customHeight="1">
      <c r="M564" s="113"/>
      <c r="N564" s="113"/>
      <c r="O564" s="113"/>
      <c r="P564" s="113"/>
      <c r="AC564" s="117"/>
      <c r="AD564" s="118"/>
    </row>
    <row r="565" ht="15.75" customHeight="1">
      <c r="M565" s="113"/>
      <c r="N565" s="113"/>
      <c r="O565" s="113"/>
      <c r="P565" s="113"/>
      <c r="AC565" s="117"/>
      <c r="AD565" s="118"/>
    </row>
    <row r="566" ht="15.75" customHeight="1">
      <c r="M566" s="113"/>
      <c r="N566" s="113"/>
      <c r="O566" s="113"/>
      <c r="P566" s="113"/>
      <c r="AC566" s="117"/>
      <c r="AD566" s="118"/>
    </row>
    <row r="567" ht="15.75" customHeight="1">
      <c r="M567" s="113"/>
      <c r="N567" s="113"/>
      <c r="O567" s="113"/>
      <c r="P567" s="113"/>
      <c r="AC567" s="117"/>
      <c r="AD567" s="118"/>
    </row>
    <row r="568" ht="15.75" customHeight="1">
      <c r="M568" s="113"/>
      <c r="N568" s="113"/>
      <c r="O568" s="113"/>
      <c r="P568" s="113"/>
      <c r="AC568" s="117"/>
      <c r="AD568" s="118"/>
    </row>
    <row r="569" ht="15.75" customHeight="1">
      <c r="M569" s="113"/>
      <c r="N569" s="113"/>
      <c r="O569" s="113"/>
      <c r="P569" s="113"/>
      <c r="AC569" s="117"/>
      <c r="AD569" s="118"/>
    </row>
    <row r="570" ht="15.75" customHeight="1">
      <c r="M570" s="113"/>
      <c r="N570" s="113"/>
      <c r="O570" s="113"/>
      <c r="P570" s="113"/>
      <c r="AC570" s="117"/>
      <c r="AD570" s="118"/>
    </row>
    <row r="571" ht="15.75" customHeight="1">
      <c r="M571" s="113"/>
      <c r="N571" s="113"/>
      <c r="O571" s="113"/>
      <c r="P571" s="113"/>
      <c r="AC571" s="117"/>
      <c r="AD571" s="118"/>
    </row>
    <row r="572" ht="15.75" customHeight="1">
      <c r="M572" s="113"/>
      <c r="N572" s="113"/>
      <c r="O572" s="113"/>
      <c r="P572" s="113"/>
      <c r="AC572" s="117"/>
      <c r="AD572" s="118"/>
    </row>
    <row r="573" ht="15.75" customHeight="1">
      <c r="M573" s="113"/>
      <c r="N573" s="113"/>
      <c r="O573" s="113"/>
      <c r="P573" s="113"/>
      <c r="AC573" s="117"/>
      <c r="AD573" s="118"/>
    </row>
    <row r="574" ht="15.75" customHeight="1">
      <c r="M574" s="113"/>
      <c r="N574" s="113"/>
      <c r="O574" s="113"/>
      <c r="P574" s="113"/>
      <c r="AC574" s="117"/>
      <c r="AD574" s="118"/>
    </row>
    <row r="575" ht="15.75" customHeight="1">
      <c r="M575" s="113"/>
      <c r="N575" s="113"/>
      <c r="O575" s="113"/>
      <c r="P575" s="113"/>
      <c r="AC575" s="117"/>
      <c r="AD575" s="118"/>
    </row>
    <row r="576" ht="15.75" customHeight="1">
      <c r="M576" s="113"/>
      <c r="N576" s="113"/>
      <c r="O576" s="113"/>
      <c r="P576" s="113"/>
      <c r="AC576" s="117"/>
      <c r="AD576" s="118"/>
    </row>
    <row r="577" ht="15.75" customHeight="1">
      <c r="M577" s="113"/>
      <c r="N577" s="113"/>
      <c r="O577" s="113"/>
      <c r="P577" s="113"/>
      <c r="AC577" s="117"/>
      <c r="AD577" s="118"/>
    </row>
    <row r="578" ht="15.75" customHeight="1">
      <c r="M578" s="113"/>
      <c r="N578" s="113"/>
      <c r="O578" s="113"/>
      <c r="P578" s="113"/>
      <c r="AC578" s="117"/>
      <c r="AD578" s="118"/>
    </row>
    <row r="579" ht="15.75" customHeight="1">
      <c r="M579" s="113"/>
      <c r="N579" s="113"/>
      <c r="O579" s="113"/>
      <c r="P579" s="113"/>
      <c r="AC579" s="117"/>
      <c r="AD579" s="118"/>
    </row>
    <row r="580" ht="15.75" customHeight="1">
      <c r="M580" s="113"/>
      <c r="N580" s="113"/>
      <c r="O580" s="113"/>
      <c r="P580" s="113"/>
      <c r="AC580" s="117"/>
      <c r="AD580" s="118"/>
    </row>
    <row r="581" ht="15.75" customHeight="1">
      <c r="M581" s="113"/>
      <c r="N581" s="113"/>
      <c r="O581" s="113"/>
      <c r="P581" s="113"/>
      <c r="AC581" s="117"/>
      <c r="AD581" s="118"/>
    </row>
    <row r="582" ht="15.75" customHeight="1">
      <c r="M582" s="113"/>
      <c r="N582" s="113"/>
      <c r="O582" s="113"/>
      <c r="P582" s="113"/>
      <c r="AC582" s="117"/>
      <c r="AD582" s="118"/>
    </row>
    <row r="583" ht="15.75" customHeight="1">
      <c r="M583" s="113"/>
      <c r="N583" s="113"/>
      <c r="O583" s="113"/>
      <c r="P583" s="113"/>
      <c r="AC583" s="117"/>
      <c r="AD583" s="118"/>
    </row>
    <row r="584" ht="15.75" customHeight="1">
      <c r="M584" s="113"/>
      <c r="N584" s="113"/>
      <c r="O584" s="113"/>
      <c r="P584" s="113"/>
      <c r="AC584" s="117"/>
      <c r="AD584" s="118"/>
    </row>
    <row r="585" ht="15.75" customHeight="1">
      <c r="M585" s="113"/>
      <c r="N585" s="113"/>
      <c r="O585" s="113"/>
      <c r="P585" s="113"/>
      <c r="AC585" s="117"/>
      <c r="AD585" s="118"/>
    </row>
    <row r="586" ht="15.75" customHeight="1">
      <c r="M586" s="113"/>
      <c r="N586" s="113"/>
      <c r="O586" s="113"/>
      <c r="P586" s="113"/>
      <c r="AC586" s="117"/>
      <c r="AD586" s="118"/>
    </row>
    <row r="587" ht="15.75" customHeight="1">
      <c r="M587" s="113"/>
      <c r="N587" s="113"/>
      <c r="O587" s="113"/>
      <c r="P587" s="113"/>
      <c r="AC587" s="117"/>
      <c r="AD587" s="118"/>
    </row>
    <row r="588" ht="15.75" customHeight="1">
      <c r="M588" s="113"/>
      <c r="N588" s="113"/>
      <c r="O588" s="113"/>
      <c r="P588" s="113"/>
      <c r="AC588" s="117"/>
      <c r="AD588" s="118"/>
    </row>
    <row r="589" ht="15.75" customHeight="1">
      <c r="M589" s="113"/>
      <c r="N589" s="113"/>
      <c r="O589" s="113"/>
      <c r="P589" s="113"/>
      <c r="AC589" s="117"/>
      <c r="AD589" s="118"/>
    </row>
    <row r="590" ht="15.75" customHeight="1">
      <c r="M590" s="113"/>
      <c r="N590" s="113"/>
      <c r="O590" s="113"/>
      <c r="P590" s="113"/>
      <c r="AC590" s="117"/>
      <c r="AD590" s="118"/>
    </row>
    <row r="591" ht="15.75" customHeight="1">
      <c r="M591" s="113"/>
      <c r="N591" s="113"/>
      <c r="O591" s="113"/>
      <c r="P591" s="113"/>
      <c r="AC591" s="117"/>
      <c r="AD591" s="118"/>
    </row>
    <row r="592" ht="15.75" customHeight="1">
      <c r="M592" s="113"/>
      <c r="N592" s="113"/>
      <c r="O592" s="113"/>
      <c r="P592" s="113"/>
      <c r="AC592" s="117"/>
      <c r="AD592" s="118"/>
    </row>
    <row r="593" ht="15.75" customHeight="1">
      <c r="M593" s="113"/>
      <c r="N593" s="113"/>
      <c r="O593" s="113"/>
      <c r="P593" s="113"/>
      <c r="AC593" s="117"/>
      <c r="AD593" s="118"/>
    </row>
    <row r="594" ht="15.75" customHeight="1">
      <c r="M594" s="113"/>
      <c r="N594" s="113"/>
      <c r="O594" s="113"/>
      <c r="P594" s="113"/>
      <c r="AC594" s="117"/>
      <c r="AD594" s="118"/>
    </row>
    <row r="595" ht="15.75" customHeight="1">
      <c r="M595" s="113"/>
      <c r="N595" s="113"/>
      <c r="O595" s="113"/>
      <c r="P595" s="113"/>
      <c r="AC595" s="117"/>
      <c r="AD595" s="118"/>
    </row>
    <row r="596" ht="15.75" customHeight="1">
      <c r="M596" s="113"/>
      <c r="N596" s="113"/>
      <c r="O596" s="113"/>
      <c r="P596" s="113"/>
      <c r="AC596" s="117"/>
      <c r="AD596" s="118"/>
    </row>
    <row r="597" ht="15.75" customHeight="1">
      <c r="M597" s="113"/>
      <c r="N597" s="113"/>
      <c r="O597" s="113"/>
      <c r="P597" s="113"/>
      <c r="AC597" s="117"/>
      <c r="AD597" s="118"/>
    </row>
    <row r="598" ht="15.75" customHeight="1">
      <c r="M598" s="113"/>
      <c r="N598" s="113"/>
      <c r="O598" s="113"/>
      <c r="P598" s="113"/>
      <c r="AC598" s="117"/>
      <c r="AD598" s="118"/>
    </row>
    <row r="599" ht="15.75" customHeight="1">
      <c r="M599" s="113"/>
      <c r="N599" s="113"/>
      <c r="O599" s="113"/>
      <c r="P599" s="113"/>
      <c r="AC599" s="117"/>
      <c r="AD599" s="118"/>
    </row>
    <row r="600" ht="15.75" customHeight="1">
      <c r="M600" s="113"/>
      <c r="N600" s="113"/>
      <c r="O600" s="113"/>
      <c r="P600" s="113"/>
      <c r="AC600" s="117"/>
      <c r="AD600" s="118"/>
    </row>
    <row r="601" ht="15.75" customHeight="1">
      <c r="M601" s="113"/>
      <c r="N601" s="113"/>
      <c r="O601" s="113"/>
      <c r="P601" s="113"/>
      <c r="AC601" s="117"/>
      <c r="AD601" s="118"/>
    </row>
    <row r="602" ht="15.75" customHeight="1">
      <c r="M602" s="113"/>
      <c r="N602" s="113"/>
      <c r="O602" s="113"/>
      <c r="P602" s="113"/>
      <c r="AC602" s="117"/>
      <c r="AD602" s="118"/>
    </row>
    <row r="603" ht="15.75" customHeight="1">
      <c r="M603" s="113"/>
      <c r="N603" s="113"/>
      <c r="O603" s="113"/>
      <c r="P603" s="113"/>
      <c r="AC603" s="117"/>
      <c r="AD603" s="118"/>
    </row>
    <row r="604" ht="15.75" customHeight="1">
      <c r="M604" s="113"/>
      <c r="N604" s="113"/>
      <c r="O604" s="113"/>
      <c r="P604" s="113"/>
      <c r="AC604" s="117"/>
      <c r="AD604" s="118"/>
    </row>
    <row r="605" ht="15.75" customHeight="1">
      <c r="M605" s="113"/>
      <c r="N605" s="113"/>
      <c r="O605" s="113"/>
      <c r="P605" s="113"/>
      <c r="AC605" s="117"/>
      <c r="AD605" s="118"/>
    </row>
    <row r="606" ht="15.75" customHeight="1">
      <c r="M606" s="113"/>
      <c r="N606" s="113"/>
      <c r="O606" s="113"/>
      <c r="P606" s="113"/>
      <c r="AC606" s="117"/>
      <c r="AD606" s="118"/>
    </row>
    <row r="607" ht="15.75" customHeight="1">
      <c r="M607" s="113"/>
      <c r="N607" s="113"/>
      <c r="O607" s="113"/>
      <c r="P607" s="113"/>
      <c r="AC607" s="117"/>
      <c r="AD607" s="118"/>
    </row>
    <row r="608" ht="15.75" customHeight="1">
      <c r="M608" s="113"/>
      <c r="N608" s="113"/>
      <c r="O608" s="113"/>
      <c r="P608" s="113"/>
      <c r="AC608" s="117"/>
      <c r="AD608" s="118"/>
    </row>
    <row r="609" ht="15.75" customHeight="1">
      <c r="M609" s="113"/>
      <c r="N609" s="113"/>
      <c r="O609" s="113"/>
      <c r="P609" s="113"/>
      <c r="AC609" s="117"/>
      <c r="AD609" s="118"/>
    </row>
    <row r="610" ht="15.75" customHeight="1">
      <c r="M610" s="113"/>
      <c r="N610" s="113"/>
      <c r="O610" s="113"/>
      <c r="P610" s="113"/>
      <c r="AC610" s="117"/>
      <c r="AD610" s="118"/>
    </row>
    <row r="611" ht="15.75" customHeight="1">
      <c r="M611" s="113"/>
      <c r="N611" s="113"/>
      <c r="O611" s="113"/>
      <c r="P611" s="113"/>
      <c r="AC611" s="117"/>
      <c r="AD611" s="118"/>
    </row>
    <row r="612" ht="15.75" customHeight="1">
      <c r="M612" s="113"/>
      <c r="N612" s="113"/>
      <c r="O612" s="113"/>
      <c r="P612" s="113"/>
      <c r="AC612" s="117"/>
      <c r="AD612" s="118"/>
    </row>
    <row r="613" ht="15.75" customHeight="1">
      <c r="M613" s="113"/>
      <c r="N613" s="113"/>
      <c r="O613" s="113"/>
      <c r="P613" s="113"/>
      <c r="AC613" s="117"/>
      <c r="AD613" s="118"/>
    </row>
    <row r="614" ht="15.75" customHeight="1">
      <c r="M614" s="113"/>
      <c r="N614" s="113"/>
      <c r="O614" s="113"/>
      <c r="P614" s="113"/>
      <c r="AC614" s="117"/>
      <c r="AD614" s="118"/>
    </row>
    <row r="615" ht="15.75" customHeight="1">
      <c r="M615" s="113"/>
      <c r="N615" s="113"/>
      <c r="O615" s="113"/>
      <c r="P615" s="113"/>
      <c r="AC615" s="117"/>
      <c r="AD615" s="118"/>
    </row>
    <row r="616" ht="15.75" customHeight="1">
      <c r="M616" s="113"/>
      <c r="N616" s="113"/>
      <c r="O616" s="113"/>
      <c r="P616" s="113"/>
      <c r="AC616" s="117"/>
      <c r="AD616" s="118"/>
    </row>
    <row r="617" ht="15.75" customHeight="1">
      <c r="M617" s="113"/>
      <c r="N617" s="113"/>
      <c r="O617" s="113"/>
      <c r="P617" s="113"/>
      <c r="AC617" s="117"/>
      <c r="AD617" s="118"/>
    </row>
    <row r="618" ht="15.75" customHeight="1">
      <c r="M618" s="113"/>
      <c r="N618" s="113"/>
      <c r="O618" s="113"/>
      <c r="P618" s="113"/>
      <c r="AC618" s="117"/>
      <c r="AD618" s="118"/>
    </row>
    <row r="619" ht="15.75" customHeight="1">
      <c r="M619" s="113"/>
      <c r="N619" s="113"/>
      <c r="O619" s="113"/>
      <c r="P619" s="113"/>
      <c r="AC619" s="117"/>
      <c r="AD619" s="118"/>
    </row>
    <row r="620" ht="15.75" customHeight="1">
      <c r="M620" s="113"/>
      <c r="N620" s="113"/>
      <c r="O620" s="113"/>
      <c r="P620" s="113"/>
      <c r="AC620" s="117"/>
      <c r="AD620" s="118"/>
    </row>
    <row r="621" ht="15.75" customHeight="1">
      <c r="M621" s="113"/>
      <c r="N621" s="113"/>
      <c r="O621" s="113"/>
      <c r="P621" s="113"/>
      <c r="AC621" s="117"/>
      <c r="AD621" s="118"/>
    </row>
    <row r="622" ht="15.75" customHeight="1">
      <c r="M622" s="113"/>
      <c r="N622" s="113"/>
      <c r="O622" s="113"/>
      <c r="P622" s="113"/>
      <c r="AC622" s="117"/>
      <c r="AD622" s="118"/>
    </row>
    <row r="623" ht="15.75" customHeight="1">
      <c r="M623" s="113"/>
      <c r="N623" s="113"/>
      <c r="O623" s="113"/>
      <c r="P623" s="113"/>
      <c r="AC623" s="117"/>
      <c r="AD623" s="118"/>
    </row>
    <row r="624" ht="15.75" customHeight="1">
      <c r="M624" s="113"/>
      <c r="N624" s="113"/>
      <c r="O624" s="113"/>
      <c r="P624" s="113"/>
      <c r="AC624" s="117"/>
      <c r="AD624" s="118"/>
    </row>
    <row r="625" ht="15.75" customHeight="1">
      <c r="M625" s="113"/>
      <c r="N625" s="113"/>
      <c r="O625" s="113"/>
      <c r="P625" s="113"/>
      <c r="AC625" s="117"/>
      <c r="AD625" s="118"/>
    </row>
    <row r="626" ht="15.75" customHeight="1">
      <c r="M626" s="113"/>
      <c r="N626" s="113"/>
      <c r="O626" s="113"/>
      <c r="P626" s="113"/>
      <c r="AC626" s="117"/>
      <c r="AD626" s="118"/>
    </row>
    <row r="627" ht="15.75" customHeight="1">
      <c r="M627" s="113"/>
      <c r="N627" s="113"/>
      <c r="O627" s="113"/>
      <c r="P627" s="113"/>
      <c r="AC627" s="117"/>
      <c r="AD627" s="118"/>
    </row>
    <row r="628" ht="15.75" customHeight="1">
      <c r="M628" s="113"/>
      <c r="N628" s="113"/>
      <c r="O628" s="113"/>
      <c r="P628" s="113"/>
      <c r="AC628" s="117"/>
      <c r="AD628" s="118"/>
    </row>
    <row r="629" ht="15.75" customHeight="1">
      <c r="M629" s="113"/>
      <c r="N629" s="113"/>
      <c r="O629" s="113"/>
      <c r="P629" s="113"/>
      <c r="AC629" s="117"/>
      <c r="AD629" s="118"/>
    </row>
    <row r="630" ht="15.75" customHeight="1">
      <c r="M630" s="113"/>
      <c r="N630" s="113"/>
      <c r="O630" s="113"/>
      <c r="P630" s="113"/>
      <c r="AC630" s="117"/>
      <c r="AD630" s="118"/>
    </row>
    <row r="631" ht="15.75" customHeight="1">
      <c r="M631" s="113"/>
      <c r="N631" s="113"/>
      <c r="O631" s="113"/>
      <c r="P631" s="113"/>
      <c r="AC631" s="117"/>
      <c r="AD631" s="118"/>
    </row>
    <row r="632" ht="15.75" customHeight="1">
      <c r="M632" s="113"/>
      <c r="N632" s="113"/>
      <c r="O632" s="113"/>
      <c r="P632" s="113"/>
      <c r="AC632" s="117"/>
      <c r="AD632" s="118"/>
    </row>
    <row r="633" ht="15.75" customHeight="1">
      <c r="M633" s="113"/>
      <c r="N633" s="113"/>
      <c r="O633" s="113"/>
      <c r="P633" s="113"/>
      <c r="AC633" s="117"/>
      <c r="AD633" s="118"/>
    </row>
    <row r="634" ht="15.75" customHeight="1">
      <c r="M634" s="113"/>
      <c r="N634" s="113"/>
      <c r="O634" s="113"/>
      <c r="P634" s="113"/>
      <c r="AC634" s="117"/>
      <c r="AD634" s="118"/>
    </row>
    <row r="635" ht="15.75" customHeight="1">
      <c r="M635" s="113"/>
      <c r="N635" s="113"/>
      <c r="O635" s="113"/>
      <c r="P635" s="113"/>
      <c r="AC635" s="117"/>
      <c r="AD635" s="118"/>
    </row>
    <row r="636" ht="15.75" customHeight="1">
      <c r="M636" s="113"/>
      <c r="N636" s="113"/>
      <c r="O636" s="113"/>
      <c r="P636" s="113"/>
      <c r="AC636" s="117"/>
      <c r="AD636" s="118"/>
    </row>
    <row r="637" ht="15.75" customHeight="1">
      <c r="M637" s="113"/>
      <c r="N637" s="113"/>
      <c r="O637" s="113"/>
      <c r="P637" s="113"/>
      <c r="AC637" s="117"/>
      <c r="AD637" s="118"/>
    </row>
    <row r="638" ht="15.75" customHeight="1">
      <c r="M638" s="113"/>
      <c r="N638" s="113"/>
      <c r="O638" s="113"/>
      <c r="P638" s="113"/>
      <c r="AC638" s="117"/>
      <c r="AD638" s="118"/>
    </row>
    <row r="639" ht="15.75" customHeight="1">
      <c r="M639" s="113"/>
      <c r="N639" s="113"/>
      <c r="O639" s="113"/>
      <c r="P639" s="113"/>
      <c r="AC639" s="117"/>
      <c r="AD639" s="118"/>
    </row>
    <row r="640" ht="15.75" customHeight="1">
      <c r="M640" s="113"/>
      <c r="N640" s="113"/>
      <c r="O640" s="113"/>
      <c r="P640" s="113"/>
      <c r="AC640" s="117"/>
      <c r="AD640" s="118"/>
    </row>
    <row r="641" ht="15.75" customHeight="1">
      <c r="M641" s="113"/>
      <c r="N641" s="113"/>
      <c r="O641" s="113"/>
      <c r="P641" s="113"/>
      <c r="AC641" s="117"/>
      <c r="AD641" s="118"/>
    </row>
    <row r="642" ht="15.75" customHeight="1">
      <c r="M642" s="113"/>
      <c r="N642" s="113"/>
      <c r="O642" s="113"/>
      <c r="P642" s="113"/>
      <c r="AC642" s="117"/>
      <c r="AD642" s="118"/>
    </row>
    <row r="643" ht="15.75" customHeight="1">
      <c r="M643" s="113"/>
      <c r="N643" s="113"/>
      <c r="O643" s="113"/>
      <c r="P643" s="113"/>
      <c r="AC643" s="117"/>
      <c r="AD643" s="118"/>
    </row>
    <row r="644" ht="15.75" customHeight="1">
      <c r="M644" s="113"/>
      <c r="N644" s="113"/>
      <c r="O644" s="113"/>
      <c r="P644" s="113"/>
      <c r="AC644" s="117"/>
      <c r="AD644" s="118"/>
    </row>
    <row r="645" ht="15.75" customHeight="1">
      <c r="M645" s="113"/>
      <c r="N645" s="113"/>
      <c r="O645" s="113"/>
      <c r="P645" s="113"/>
      <c r="AC645" s="117"/>
      <c r="AD645" s="118"/>
    </row>
    <row r="646" ht="15.75" customHeight="1">
      <c r="M646" s="113"/>
      <c r="N646" s="113"/>
      <c r="O646" s="113"/>
      <c r="P646" s="113"/>
      <c r="AC646" s="117"/>
      <c r="AD646" s="118"/>
    </row>
    <row r="647" ht="15.75" customHeight="1">
      <c r="M647" s="113"/>
      <c r="N647" s="113"/>
      <c r="O647" s="113"/>
      <c r="P647" s="113"/>
      <c r="AC647" s="117"/>
      <c r="AD647" s="118"/>
    </row>
    <row r="648" ht="15.75" customHeight="1">
      <c r="M648" s="113"/>
      <c r="N648" s="113"/>
      <c r="O648" s="113"/>
      <c r="P648" s="113"/>
      <c r="AC648" s="117"/>
      <c r="AD648" s="118"/>
    </row>
    <row r="649" ht="15.75" customHeight="1">
      <c r="M649" s="113"/>
      <c r="N649" s="113"/>
      <c r="O649" s="113"/>
      <c r="P649" s="113"/>
      <c r="AC649" s="117"/>
      <c r="AD649" s="118"/>
    </row>
    <row r="650" ht="15.75" customHeight="1">
      <c r="M650" s="113"/>
      <c r="N650" s="113"/>
      <c r="O650" s="113"/>
      <c r="P650" s="113"/>
      <c r="AC650" s="117"/>
      <c r="AD650" s="118"/>
    </row>
    <row r="651" ht="15.75" customHeight="1">
      <c r="M651" s="113"/>
      <c r="N651" s="113"/>
      <c r="O651" s="113"/>
      <c r="P651" s="113"/>
      <c r="AC651" s="117"/>
      <c r="AD651" s="118"/>
    </row>
    <row r="652" ht="15.75" customHeight="1">
      <c r="M652" s="113"/>
      <c r="N652" s="113"/>
      <c r="O652" s="113"/>
      <c r="P652" s="113"/>
      <c r="AC652" s="117"/>
      <c r="AD652" s="118"/>
    </row>
    <row r="653" ht="15.75" customHeight="1">
      <c r="M653" s="113"/>
      <c r="N653" s="113"/>
      <c r="O653" s="113"/>
      <c r="P653" s="113"/>
      <c r="AC653" s="117"/>
      <c r="AD653" s="118"/>
    </row>
    <row r="654" ht="15.75" customHeight="1">
      <c r="M654" s="113"/>
      <c r="N654" s="113"/>
      <c r="O654" s="113"/>
      <c r="P654" s="113"/>
      <c r="AC654" s="117"/>
      <c r="AD654" s="118"/>
    </row>
    <row r="655" ht="15.75" customHeight="1">
      <c r="M655" s="113"/>
      <c r="N655" s="113"/>
      <c r="O655" s="113"/>
      <c r="P655" s="113"/>
      <c r="AC655" s="117"/>
      <c r="AD655" s="118"/>
    </row>
    <row r="656" ht="15.75" customHeight="1">
      <c r="M656" s="113"/>
      <c r="N656" s="113"/>
      <c r="O656" s="113"/>
      <c r="P656" s="113"/>
      <c r="AC656" s="117"/>
      <c r="AD656" s="118"/>
    </row>
    <row r="657" ht="15.75" customHeight="1">
      <c r="M657" s="113"/>
      <c r="N657" s="113"/>
      <c r="O657" s="113"/>
      <c r="P657" s="113"/>
      <c r="AC657" s="117"/>
      <c r="AD657" s="118"/>
    </row>
    <row r="658" ht="15.75" customHeight="1">
      <c r="M658" s="113"/>
      <c r="N658" s="113"/>
      <c r="O658" s="113"/>
      <c r="P658" s="113"/>
      <c r="AC658" s="117"/>
      <c r="AD658" s="118"/>
    </row>
    <row r="659" ht="15.75" customHeight="1">
      <c r="M659" s="113"/>
      <c r="N659" s="113"/>
      <c r="O659" s="113"/>
      <c r="P659" s="113"/>
      <c r="AC659" s="117"/>
      <c r="AD659" s="118"/>
    </row>
    <row r="660" ht="15.75" customHeight="1">
      <c r="M660" s="113"/>
      <c r="N660" s="113"/>
      <c r="O660" s="113"/>
      <c r="P660" s="113"/>
      <c r="AC660" s="117"/>
      <c r="AD660" s="118"/>
    </row>
    <row r="661" ht="15.75" customHeight="1">
      <c r="M661" s="113"/>
      <c r="N661" s="113"/>
      <c r="O661" s="113"/>
      <c r="P661" s="113"/>
      <c r="AC661" s="117"/>
      <c r="AD661" s="118"/>
    </row>
    <row r="662" ht="15.75" customHeight="1">
      <c r="M662" s="113"/>
      <c r="N662" s="113"/>
      <c r="O662" s="113"/>
      <c r="P662" s="113"/>
      <c r="AC662" s="117"/>
      <c r="AD662" s="118"/>
    </row>
    <row r="663" ht="15.75" customHeight="1">
      <c r="M663" s="113"/>
      <c r="N663" s="113"/>
      <c r="O663" s="113"/>
      <c r="P663" s="113"/>
      <c r="AC663" s="117"/>
      <c r="AD663" s="118"/>
    </row>
    <row r="664" ht="15.75" customHeight="1">
      <c r="M664" s="113"/>
      <c r="N664" s="113"/>
      <c r="O664" s="113"/>
      <c r="P664" s="113"/>
      <c r="AC664" s="117"/>
      <c r="AD664" s="118"/>
    </row>
    <row r="665" ht="15.75" customHeight="1">
      <c r="M665" s="113"/>
      <c r="N665" s="113"/>
      <c r="O665" s="113"/>
      <c r="P665" s="113"/>
      <c r="AC665" s="117"/>
      <c r="AD665" s="118"/>
    </row>
    <row r="666" ht="15.75" customHeight="1">
      <c r="M666" s="113"/>
      <c r="N666" s="113"/>
      <c r="O666" s="113"/>
      <c r="P666" s="113"/>
      <c r="AC666" s="117"/>
      <c r="AD666" s="118"/>
    </row>
    <row r="667" ht="15.75" customHeight="1">
      <c r="M667" s="113"/>
      <c r="N667" s="113"/>
      <c r="O667" s="113"/>
      <c r="P667" s="113"/>
      <c r="AC667" s="117"/>
      <c r="AD667" s="118"/>
    </row>
    <row r="668" ht="15.75" customHeight="1">
      <c r="M668" s="113"/>
      <c r="N668" s="113"/>
      <c r="O668" s="113"/>
      <c r="P668" s="113"/>
      <c r="AC668" s="117"/>
      <c r="AD668" s="118"/>
    </row>
    <row r="669" ht="15.75" customHeight="1">
      <c r="M669" s="113"/>
      <c r="N669" s="113"/>
      <c r="O669" s="113"/>
      <c r="P669" s="113"/>
      <c r="AC669" s="117"/>
      <c r="AD669" s="118"/>
    </row>
    <row r="670" ht="15.75" customHeight="1">
      <c r="M670" s="113"/>
      <c r="N670" s="113"/>
      <c r="O670" s="113"/>
      <c r="P670" s="113"/>
      <c r="AC670" s="117"/>
      <c r="AD670" s="118"/>
    </row>
    <row r="671" ht="15.75" customHeight="1">
      <c r="M671" s="113"/>
      <c r="N671" s="113"/>
      <c r="O671" s="113"/>
      <c r="P671" s="113"/>
      <c r="AC671" s="117"/>
      <c r="AD671" s="118"/>
    </row>
    <row r="672" ht="15.75" customHeight="1">
      <c r="M672" s="113"/>
      <c r="N672" s="113"/>
      <c r="O672" s="113"/>
      <c r="P672" s="113"/>
      <c r="AC672" s="117"/>
      <c r="AD672" s="118"/>
    </row>
    <row r="673" ht="15.75" customHeight="1">
      <c r="M673" s="113"/>
      <c r="N673" s="113"/>
      <c r="O673" s="113"/>
      <c r="P673" s="113"/>
      <c r="AC673" s="117"/>
      <c r="AD673" s="118"/>
    </row>
    <row r="674" ht="15.75" customHeight="1">
      <c r="M674" s="113"/>
      <c r="N674" s="113"/>
      <c r="O674" s="113"/>
      <c r="P674" s="113"/>
      <c r="AC674" s="117"/>
      <c r="AD674" s="118"/>
    </row>
    <row r="675" ht="15.75" customHeight="1">
      <c r="M675" s="113"/>
      <c r="N675" s="113"/>
      <c r="O675" s="113"/>
      <c r="P675" s="113"/>
      <c r="AC675" s="117"/>
      <c r="AD675" s="118"/>
    </row>
    <row r="676" ht="15.75" customHeight="1">
      <c r="M676" s="113"/>
      <c r="N676" s="113"/>
      <c r="O676" s="113"/>
      <c r="P676" s="113"/>
      <c r="AC676" s="117"/>
      <c r="AD676" s="118"/>
    </row>
    <row r="677" ht="15.75" customHeight="1">
      <c r="M677" s="113"/>
      <c r="N677" s="113"/>
      <c r="O677" s="113"/>
      <c r="P677" s="113"/>
      <c r="AC677" s="117"/>
      <c r="AD677" s="118"/>
    </row>
    <row r="678" ht="15.75" customHeight="1">
      <c r="M678" s="113"/>
      <c r="N678" s="113"/>
      <c r="O678" s="113"/>
      <c r="P678" s="113"/>
      <c r="AC678" s="117"/>
      <c r="AD678" s="118"/>
    </row>
    <row r="679" ht="15.75" customHeight="1">
      <c r="M679" s="113"/>
      <c r="N679" s="113"/>
      <c r="O679" s="113"/>
      <c r="P679" s="113"/>
      <c r="AC679" s="117"/>
      <c r="AD679" s="118"/>
    </row>
    <row r="680" ht="15.75" customHeight="1">
      <c r="M680" s="113"/>
      <c r="N680" s="113"/>
      <c r="O680" s="113"/>
      <c r="P680" s="113"/>
      <c r="AC680" s="117"/>
      <c r="AD680" s="118"/>
    </row>
    <row r="681" ht="15.75" customHeight="1">
      <c r="M681" s="113"/>
      <c r="N681" s="113"/>
      <c r="O681" s="113"/>
      <c r="P681" s="113"/>
      <c r="AC681" s="117"/>
      <c r="AD681" s="118"/>
    </row>
    <row r="682" ht="15.75" customHeight="1">
      <c r="M682" s="113"/>
      <c r="N682" s="113"/>
      <c r="O682" s="113"/>
      <c r="P682" s="113"/>
      <c r="AC682" s="117"/>
      <c r="AD682" s="118"/>
    </row>
    <row r="683" ht="15.75" customHeight="1">
      <c r="M683" s="113"/>
      <c r="N683" s="113"/>
      <c r="O683" s="113"/>
      <c r="P683" s="113"/>
      <c r="AC683" s="117"/>
      <c r="AD683" s="118"/>
    </row>
    <row r="684" ht="15.75" customHeight="1">
      <c r="M684" s="113"/>
      <c r="N684" s="113"/>
      <c r="O684" s="113"/>
      <c r="P684" s="113"/>
      <c r="AC684" s="117"/>
      <c r="AD684" s="118"/>
    </row>
    <row r="685" ht="15.75" customHeight="1">
      <c r="M685" s="113"/>
      <c r="N685" s="113"/>
      <c r="O685" s="113"/>
      <c r="P685" s="113"/>
      <c r="AC685" s="117"/>
      <c r="AD685" s="118"/>
    </row>
    <row r="686" ht="15.75" customHeight="1">
      <c r="M686" s="113"/>
      <c r="N686" s="113"/>
      <c r="O686" s="113"/>
      <c r="P686" s="113"/>
      <c r="AC686" s="117"/>
      <c r="AD686" s="118"/>
    </row>
    <row r="687" ht="15.75" customHeight="1">
      <c r="M687" s="113"/>
      <c r="N687" s="113"/>
      <c r="O687" s="113"/>
      <c r="P687" s="113"/>
      <c r="AC687" s="117"/>
      <c r="AD687" s="118"/>
    </row>
    <row r="688" ht="15.75" customHeight="1">
      <c r="M688" s="113"/>
      <c r="N688" s="113"/>
      <c r="O688" s="113"/>
      <c r="P688" s="113"/>
      <c r="AC688" s="117"/>
      <c r="AD688" s="118"/>
    </row>
    <row r="689" ht="15.75" customHeight="1">
      <c r="M689" s="113"/>
      <c r="N689" s="113"/>
      <c r="O689" s="113"/>
      <c r="P689" s="113"/>
      <c r="AC689" s="117"/>
      <c r="AD689" s="118"/>
    </row>
    <row r="690" ht="15.75" customHeight="1">
      <c r="M690" s="113"/>
      <c r="N690" s="113"/>
      <c r="O690" s="113"/>
      <c r="P690" s="113"/>
      <c r="AC690" s="117"/>
      <c r="AD690" s="118"/>
    </row>
    <row r="691" ht="15.75" customHeight="1">
      <c r="M691" s="113"/>
      <c r="N691" s="113"/>
      <c r="O691" s="113"/>
      <c r="P691" s="113"/>
      <c r="AC691" s="117"/>
      <c r="AD691" s="118"/>
    </row>
    <row r="692" ht="15.75" customHeight="1">
      <c r="M692" s="113"/>
      <c r="N692" s="113"/>
      <c r="O692" s="113"/>
      <c r="P692" s="113"/>
      <c r="AC692" s="117"/>
      <c r="AD692" s="118"/>
    </row>
    <row r="693" ht="15.75" customHeight="1">
      <c r="M693" s="113"/>
      <c r="N693" s="113"/>
      <c r="O693" s="113"/>
      <c r="P693" s="113"/>
      <c r="AC693" s="117"/>
      <c r="AD693" s="118"/>
    </row>
    <row r="694" ht="15.75" customHeight="1">
      <c r="M694" s="113"/>
      <c r="N694" s="113"/>
      <c r="O694" s="113"/>
      <c r="P694" s="113"/>
      <c r="AC694" s="117"/>
      <c r="AD694" s="118"/>
    </row>
    <row r="695" ht="15.75" customHeight="1">
      <c r="M695" s="113"/>
      <c r="N695" s="113"/>
      <c r="O695" s="113"/>
      <c r="P695" s="113"/>
      <c r="AC695" s="117"/>
      <c r="AD695" s="118"/>
    </row>
    <row r="696" ht="15.75" customHeight="1">
      <c r="M696" s="113"/>
      <c r="N696" s="113"/>
      <c r="O696" s="113"/>
      <c r="P696" s="113"/>
      <c r="AC696" s="117"/>
      <c r="AD696" s="118"/>
    </row>
    <row r="697" ht="15.75" customHeight="1">
      <c r="M697" s="113"/>
      <c r="N697" s="113"/>
      <c r="O697" s="113"/>
      <c r="P697" s="113"/>
      <c r="AC697" s="117"/>
      <c r="AD697" s="118"/>
    </row>
    <row r="698" ht="15.75" customHeight="1">
      <c r="M698" s="113"/>
      <c r="N698" s="113"/>
      <c r="O698" s="113"/>
      <c r="P698" s="113"/>
      <c r="AC698" s="117"/>
      <c r="AD698" s="118"/>
    </row>
    <row r="699" ht="15.75" customHeight="1">
      <c r="M699" s="113"/>
      <c r="N699" s="113"/>
      <c r="O699" s="113"/>
      <c r="P699" s="113"/>
      <c r="AC699" s="117"/>
      <c r="AD699" s="118"/>
    </row>
    <row r="700" ht="15.75" customHeight="1">
      <c r="M700" s="113"/>
      <c r="N700" s="113"/>
      <c r="O700" s="113"/>
      <c r="P700" s="113"/>
      <c r="AC700" s="117"/>
      <c r="AD700" s="118"/>
    </row>
    <row r="701" ht="15.75" customHeight="1">
      <c r="M701" s="113"/>
      <c r="N701" s="113"/>
      <c r="O701" s="113"/>
      <c r="P701" s="113"/>
      <c r="AC701" s="117"/>
      <c r="AD701" s="118"/>
    </row>
    <row r="702" ht="15.75" customHeight="1">
      <c r="M702" s="113"/>
      <c r="N702" s="113"/>
      <c r="O702" s="113"/>
      <c r="P702" s="113"/>
      <c r="AC702" s="117"/>
      <c r="AD702" s="118"/>
    </row>
    <row r="703" ht="15.75" customHeight="1">
      <c r="M703" s="113"/>
      <c r="N703" s="113"/>
      <c r="O703" s="113"/>
      <c r="P703" s="113"/>
      <c r="AC703" s="117"/>
      <c r="AD703" s="118"/>
    </row>
    <row r="704" ht="15.75" customHeight="1">
      <c r="M704" s="113"/>
      <c r="N704" s="113"/>
      <c r="O704" s="113"/>
      <c r="P704" s="113"/>
      <c r="AC704" s="117"/>
      <c r="AD704" s="118"/>
    </row>
    <row r="705" ht="15.75" customHeight="1">
      <c r="M705" s="113"/>
      <c r="N705" s="113"/>
      <c r="O705" s="113"/>
      <c r="P705" s="113"/>
      <c r="AC705" s="117"/>
      <c r="AD705" s="118"/>
    </row>
    <row r="706" ht="15.75" customHeight="1">
      <c r="M706" s="113"/>
      <c r="N706" s="113"/>
      <c r="O706" s="113"/>
      <c r="P706" s="113"/>
      <c r="AC706" s="117"/>
      <c r="AD706" s="118"/>
    </row>
    <row r="707" ht="15.75" customHeight="1">
      <c r="M707" s="113"/>
      <c r="N707" s="113"/>
      <c r="O707" s="113"/>
      <c r="P707" s="113"/>
      <c r="AC707" s="117"/>
      <c r="AD707" s="118"/>
    </row>
    <row r="708" ht="15.75" customHeight="1">
      <c r="M708" s="113"/>
      <c r="N708" s="113"/>
      <c r="O708" s="113"/>
      <c r="P708" s="113"/>
      <c r="AC708" s="117"/>
      <c r="AD708" s="118"/>
    </row>
    <row r="709" ht="15.75" customHeight="1">
      <c r="M709" s="113"/>
      <c r="N709" s="113"/>
      <c r="O709" s="113"/>
      <c r="P709" s="113"/>
      <c r="AC709" s="117"/>
      <c r="AD709" s="118"/>
    </row>
    <row r="710" ht="15.75" customHeight="1">
      <c r="M710" s="113"/>
      <c r="N710" s="113"/>
      <c r="O710" s="113"/>
      <c r="P710" s="113"/>
      <c r="AC710" s="117"/>
      <c r="AD710" s="118"/>
    </row>
    <row r="711" ht="15.75" customHeight="1">
      <c r="M711" s="113"/>
      <c r="N711" s="113"/>
      <c r="O711" s="113"/>
      <c r="P711" s="113"/>
      <c r="AC711" s="117"/>
      <c r="AD711" s="118"/>
    </row>
    <row r="712" ht="15.75" customHeight="1">
      <c r="M712" s="113"/>
      <c r="N712" s="113"/>
      <c r="O712" s="113"/>
      <c r="P712" s="113"/>
      <c r="AC712" s="117"/>
      <c r="AD712" s="118"/>
    </row>
    <row r="713" ht="15.75" customHeight="1">
      <c r="M713" s="113"/>
      <c r="N713" s="113"/>
      <c r="O713" s="113"/>
      <c r="P713" s="113"/>
      <c r="AC713" s="117"/>
      <c r="AD713" s="118"/>
    </row>
    <row r="714" ht="15.75" customHeight="1">
      <c r="M714" s="113"/>
      <c r="N714" s="113"/>
      <c r="O714" s="113"/>
      <c r="P714" s="113"/>
      <c r="AC714" s="117"/>
      <c r="AD714" s="118"/>
    </row>
    <row r="715" ht="15.75" customHeight="1">
      <c r="M715" s="113"/>
      <c r="N715" s="113"/>
      <c r="O715" s="113"/>
      <c r="P715" s="113"/>
      <c r="AC715" s="117"/>
      <c r="AD715" s="118"/>
    </row>
    <row r="716" ht="15.75" customHeight="1">
      <c r="M716" s="113"/>
      <c r="N716" s="113"/>
      <c r="O716" s="113"/>
      <c r="P716" s="113"/>
      <c r="AC716" s="117"/>
      <c r="AD716" s="118"/>
    </row>
    <row r="717" ht="15.75" customHeight="1">
      <c r="M717" s="113"/>
      <c r="N717" s="113"/>
      <c r="O717" s="113"/>
      <c r="P717" s="113"/>
      <c r="AC717" s="117"/>
      <c r="AD717" s="118"/>
    </row>
    <row r="718" ht="15.75" customHeight="1">
      <c r="M718" s="113"/>
      <c r="N718" s="113"/>
      <c r="O718" s="113"/>
      <c r="P718" s="113"/>
      <c r="AC718" s="117"/>
      <c r="AD718" s="118"/>
    </row>
    <row r="719" ht="15.75" customHeight="1">
      <c r="M719" s="113"/>
      <c r="N719" s="113"/>
      <c r="O719" s="113"/>
      <c r="P719" s="113"/>
      <c r="AC719" s="117"/>
      <c r="AD719" s="118"/>
    </row>
    <row r="720" ht="15.75" customHeight="1">
      <c r="M720" s="113"/>
      <c r="N720" s="113"/>
      <c r="O720" s="113"/>
      <c r="P720" s="113"/>
      <c r="AC720" s="117"/>
      <c r="AD720" s="118"/>
    </row>
    <row r="721" ht="15.75" customHeight="1">
      <c r="M721" s="113"/>
      <c r="N721" s="113"/>
      <c r="O721" s="113"/>
      <c r="P721" s="113"/>
      <c r="AC721" s="117"/>
      <c r="AD721" s="118"/>
    </row>
    <row r="722" ht="15.75" customHeight="1">
      <c r="M722" s="113"/>
      <c r="N722" s="113"/>
      <c r="O722" s="113"/>
      <c r="P722" s="113"/>
      <c r="AC722" s="117"/>
      <c r="AD722" s="118"/>
    </row>
    <row r="723" ht="15.75" customHeight="1">
      <c r="M723" s="113"/>
      <c r="N723" s="113"/>
      <c r="O723" s="113"/>
      <c r="P723" s="113"/>
      <c r="AC723" s="117"/>
      <c r="AD723" s="118"/>
    </row>
    <row r="724" ht="15.75" customHeight="1">
      <c r="M724" s="113"/>
      <c r="N724" s="113"/>
      <c r="O724" s="113"/>
      <c r="P724" s="113"/>
      <c r="AC724" s="117"/>
      <c r="AD724" s="118"/>
    </row>
    <row r="725" ht="15.75" customHeight="1">
      <c r="M725" s="113"/>
      <c r="N725" s="113"/>
      <c r="O725" s="113"/>
      <c r="P725" s="113"/>
      <c r="AC725" s="117"/>
      <c r="AD725" s="118"/>
    </row>
    <row r="726" ht="15.75" customHeight="1">
      <c r="M726" s="113"/>
      <c r="N726" s="113"/>
      <c r="O726" s="113"/>
      <c r="P726" s="113"/>
      <c r="AC726" s="117"/>
      <c r="AD726" s="118"/>
    </row>
    <row r="727" ht="15.75" customHeight="1">
      <c r="M727" s="113"/>
      <c r="N727" s="113"/>
      <c r="O727" s="113"/>
      <c r="P727" s="113"/>
      <c r="AC727" s="117"/>
      <c r="AD727" s="118"/>
    </row>
    <row r="728" ht="15.75" customHeight="1">
      <c r="M728" s="113"/>
      <c r="N728" s="113"/>
      <c r="O728" s="113"/>
      <c r="P728" s="113"/>
      <c r="AC728" s="117"/>
      <c r="AD728" s="118"/>
    </row>
    <row r="729" ht="15.75" customHeight="1">
      <c r="M729" s="113"/>
      <c r="N729" s="113"/>
      <c r="O729" s="113"/>
      <c r="P729" s="113"/>
      <c r="AC729" s="117"/>
      <c r="AD729" s="118"/>
    </row>
    <row r="730" ht="15.75" customHeight="1">
      <c r="M730" s="113"/>
      <c r="N730" s="113"/>
      <c r="O730" s="113"/>
      <c r="P730" s="113"/>
      <c r="AC730" s="117"/>
      <c r="AD730" s="118"/>
    </row>
    <row r="731" ht="15.75" customHeight="1">
      <c r="M731" s="113"/>
      <c r="N731" s="113"/>
      <c r="O731" s="113"/>
      <c r="P731" s="113"/>
      <c r="AC731" s="117"/>
      <c r="AD731" s="118"/>
    </row>
    <row r="732" ht="15.75" customHeight="1">
      <c r="M732" s="113"/>
      <c r="N732" s="113"/>
      <c r="O732" s="113"/>
      <c r="P732" s="113"/>
      <c r="AC732" s="117"/>
      <c r="AD732" s="118"/>
    </row>
    <row r="733" ht="15.75" customHeight="1">
      <c r="M733" s="113"/>
      <c r="N733" s="113"/>
      <c r="O733" s="113"/>
      <c r="P733" s="113"/>
      <c r="AC733" s="117"/>
      <c r="AD733" s="118"/>
    </row>
    <row r="734" ht="15.75" customHeight="1">
      <c r="M734" s="113"/>
      <c r="N734" s="113"/>
      <c r="O734" s="113"/>
      <c r="P734" s="113"/>
      <c r="AC734" s="117"/>
      <c r="AD734" s="118"/>
    </row>
    <row r="735" ht="15.75" customHeight="1">
      <c r="M735" s="113"/>
      <c r="N735" s="113"/>
      <c r="O735" s="113"/>
      <c r="P735" s="113"/>
      <c r="AC735" s="117"/>
      <c r="AD735" s="118"/>
    </row>
    <row r="736" ht="15.75" customHeight="1">
      <c r="M736" s="113"/>
      <c r="N736" s="113"/>
      <c r="O736" s="113"/>
      <c r="P736" s="113"/>
      <c r="AC736" s="117"/>
      <c r="AD736" s="118"/>
    </row>
    <row r="737" ht="15.75" customHeight="1">
      <c r="M737" s="113"/>
      <c r="N737" s="113"/>
      <c r="O737" s="113"/>
      <c r="P737" s="113"/>
      <c r="AC737" s="117"/>
      <c r="AD737" s="118"/>
    </row>
    <row r="738" ht="15.75" customHeight="1">
      <c r="M738" s="113"/>
      <c r="N738" s="113"/>
      <c r="O738" s="113"/>
      <c r="P738" s="113"/>
      <c r="AC738" s="117"/>
      <c r="AD738" s="118"/>
    </row>
    <row r="739" ht="15.75" customHeight="1">
      <c r="M739" s="113"/>
      <c r="N739" s="113"/>
      <c r="O739" s="113"/>
      <c r="P739" s="113"/>
      <c r="AC739" s="117"/>
      <c r="AD739" s="118"/>
    </row>
    <row r="740" ht="15.75" customHeight="1">
      <c r="M740" s="113"/>
      <c r="N740" s="113"/>
      <c r="O740" s="113"/>
      <c r="P740" s="113"/>
      <c r="AC740" s="117"/>
      <c r="AD740" s="118"/>
    </row>
    <row r="741" ht="15.75" customHeight="1">
      <c r="M741" s="113"/>
      <c r="N741" s="113"/>
      <c r="O741" s="113"/>
      <c r="P741" s="113"/>
      <c r="AC741" s="117"/>
      <c r="AD741" s="118"/>
    </row>
    <row r="742" ht="15.75" customHeight="1">
      <c r="M742" s="113"/>
      <c r="N742" s="113"/>
      <c r="O742" s="113"/>
      <c r="P742" s="113"/>
      <c r="AC742" s="117"/>
      <c r="AD742" s="118"/>
    </row>
    <row r="743" ht="15.75" customHeight="1">
      <c r="M743" s="113"/>
      <c r="N743" s="113"/>
      <c r="O743" s="113"/>
      <c r="P743" s="113"/>
      <c r="AC743" s="117"/>
      <c r="AD743" s="118"/>
    </row>
    <row r="744" ht="15.75" customHeight="1">
      <c r="M744" s="113"/>
      <c r="N744" s="113"/>
      <c r="O744" s="113"/>
      <c r="P744" s="113"/>
      <c r="AC744" s="117"/>
      <c r="AD744" s="118"/>
    </row>
    <row r="745" ht="15.75" customHeight="1">
      <c r="M745" s="113"/>
      <c r="N745" s="113"/>
      <c r="O745" s="113"/>
      <c r="P745" s="113"/>
      <c r="AC745" s="117"/>
      <c r="AD745" s="118"/>
    </row>
    <row r="746" ht="15.75" customHeight="1">
      <c r="M746" s="113"/>
      <c r="N746" s="113"/>
      <c r="O746" s="113"/>
      <c r="P746" s="113"/>
      <c r="AC746" s="117"/>
      <c r="AD746" s="118"/>
    </row>
    <row r="747" ht="15.75" customHeight="1">
      <c r="M747" s="113"/>
      <c r="N747" s="113"/>
      <c r="O747" s="113"/>
      <c r="P747" s="113"/>
      <c r="AC747" s="117"/>
      <c r="AD747" s="118"/>
    </row>
    <row r="748" ht="15.75" customHeight="1">
      <c r="M748" s="113"/>
      <c r="N748" s="113"/>
      <c r="O748" s="113"/>
      <c r="P748" s="113"/>
      <c r="AC748" s="117"/>
      <c r="AD748" s="118"/>
    </row>
    <row r="749" ht="15.75" customHeight="1">
      <c r="M749" s="113"/>
      <c r="N749" s="113"/>
      <c r="O749" s="113"/>
      <c r="P749" s="113"/>
      <c r="AC749" s="117"/>
      <c r="AD749" s="118"/>
    </row>
    <row r="750" ht="15.75" customHeight="1">
      <c r="M750" s="113"/>
      <c r="N750" s="113"/>
      <c r="O750" s="113"/>
      <c r="P750" s="113"/>
      <c r="AC750" s="117"/>
      <c r="AD750" s="118"/>
    </row>
    <row r="751" ht="15.75" customHeight="1">
      <c r="M751" s="113"/>
      <c r="N751" s="113"/>
      <c r="O751" s="113"/>
      <c r="P751" s="113"/>
      <c r="AC751" s="117"/>
      <c r="AD751" s="118"/>
    </row>
    <row r="752" ht="15.75" customHeight="1">
      <c r="M752" s="113"/>
      <c r="N752" s="113"/>
      <c r="O752" s="113"/>
      <c r="P752" s="113"/>
      <c r="AC752" s="117"/>
      <c r="AD752" s="118"/>
    </row>
    <row r="753" ht="15.75" customHeight="1">
      <c r="M753" s="113"/>
      <c r="N753" s="113"/>
      <c r="O753" s="113"/>
      <c r="P753" s="113"/>
      <c r="AC753" s="117"/>
      <c r="AD753" s="118"/>
    </row>
    <row r="754" ht="15.75" customHeight="1">
      <c r="M754" s="113"/>
      <c r="N754" s="113"/>
      <c r="O754" s="113"/>
      <c r="P754" s="113"/>
      <c r="AC754" s="117"/>
      <c r="AD754" s="118"/>
    </row>
    <row r="755" ht="15.75" customHeight="1">
      <c r="M755" s="113"/>
      <c r="N755" s="113"/>
      <c r="O755" s="113"/>
      <c r="P755" s="113"/>
      <c r="AC755" s="117"/>
      <c r="AD755" s="118"/>
    </row>
    <row r="756" ht="15.75" customHeight="1">
      <c r="M756" s="113"/>
      <c r="N756" s="113"/>
      <c r="O756" s="113"/>
      <c r="P756" s="113"/>
      <c r="AC756" s="117"/>
      <c r="AD756" s="118"/>
    </row>
    <row r="757" ht="15.75" customHeight="1">
      <c r="M757" s="113"/>
      <c r="N757" s="113"/>
      <c r="O757" s="113"/>
      <c r="P757" s="113"/>
      <c r="AC757" s="117"/>
      <c r="AD757" s="118"/>
    </row>
    <row r="758" ht="15.75" customHeight="1">
      <c r="M758" s="113"/>
      <c r="N758" s="113"/>
      <c r="O758" s="113"/>
      <c r="P758" s="113"/>
      <c r="AC758" s="117"/>
      <c r="AD758" s="118"/>
    </row>
    <row r="759" ht="15.75" customHeight="1">
      <c r="M759" s="113"/>
      <c r="N759" s="113"/>
      <c r="O759" s="113"/>
      <c r="P759" s="113"/>
      <c r="AC759" s="117"/>
      <c r="AD759" s="118"/>
    </row>
    <row r="760" ht="15.75" customHeight="1">
      <c r="M760" s="113"/>
      <c r="N760" s="113"/>
      <c r="O760" s="113"/>
      <c r="P760" s="113"/>
      <c r="AC760" s="117"/>
      <c r="AD760" s="118"/>
    </row>
    <row r="761" ht="15.75" customHeight="1">
      <c r="M761" s="113"/>
      <c r="N761" s="113"/>
      <c r="O761" s="113"/>
      <c r="P761" s="113"/>
      <c r="AC761" s="117"/>
      <c r="AD761" s="118"/>
    </row>
    <row r="762" ht="15.75" customHeight="1">
      <c r="M762" s="113"/>
      <c r="N762" s="113"/>
      <c r="O762" s="113"/>
      <c r="P762" s="113"/>
      <c r="AC762" s="117"/>
      <c r="AD762" s="118"/>
    </row>
    <row r="763" ht="15.75" customHeight="1">
      <c r="M763" s="113"/>
      <c r="N763" s="113"/>
      <c r="O763" s="113"/>
      <c r="P763" s="113"/>
      <c r="AC763" s="117"/>
      <c r="AD763" s="118"/>
    </row>
    <row r="764" ht="15.75" customHeight="1">
      <c r="M764" s="113"/>
      <c r="N764" s="113"/>
      <c r="O764" s="113"/>
      <c r="P764" s="113"/>
      <c r="AC764" s="117"/>
      <c r="AD764" s="118"/>
    </row>
    <row r="765" ht="15.75" customHeight="1">
      <c r="M765" s="113"/>
      <c r="N765" s="113"/>
      <c r="O765" s="113"/>
      <c r="P765" s="113"/>
      <c r="AC765" s="117"/>
      <c r="AD765" s="118"/>
    </row>
    <row r="766" ht="15.75" customHeight="1">
      <c r="M766" s="113"/>
      <c r="N766" s="113"/>
      <c r="O766" s="113"/>
      <c r="P766" s="113"/>
      <c r="AC766" s="117"/>
      <c r="AD766" s="118"/>
    </row>
    <row r="767" ht="15.75" customHeight="1">
      <c r="M767" s="113"/>
      <c r="N767" s="113"/>
      <c r="O767" s="113"/>
      <c r="P767" s="113"/>
      <c r="AC767" s="117"/>
      <c r="AD767" s="118"/>
    </row>
    <row r="768" ht="15.75" customHeight="1">
      <c r="M768" s="113"/>
      <c r="N768" s="113"/>
      <c r="O768" s="113"/>
      <c r="P768" s="113"/>
      <c r="AC768" s="117"/>
      <c r="AD768" s="118"/>
    </row>
    <row r="769" ht="15.75" customHeight="1">
      <c r="M769" s="113"/>
      <c r="N769" s="113"/>
      <c r="O769" s="113"/>
      <c r="P769" s="113"/>
      <c r="AC769" s="117"/>
      <c r="AD769" s="118"/>
    </row>
    <row r="770" ht="15.75" customHeight="1">
      <c r="M770" s="113"/>
      <c r="N770" s="113"/>
      <c r="O770" s="113"/>
      <c r="P770" s="113"/>
      <c r="AC770" s="117"/>
      <c r="AD770" s="118"/>
    </row>
    <row r="771" ht="15.75" customHeight="1">
      <c r="M771" s="113"/>
      <c r="N771" s="113"/>
      <c r="O771" s="113"/>
      <c r="P771" s="113"/>
      <c r="AC771" s="117"/>
      <c r="AD771" s="118"/>
    </row>
    <row r="772" ht="15.75" customHeight="1">
      <c r="M772" s="113"/>
      <c r="N772" s="113"/>
      <c r="O772" s="113"/>
      <c r="P772" s="113"/>
      <c r="AC772" s="117"/>
      <c r="AD772" s="118"/>
    </row>
    <row r="773" ht="15.75" customHeight="1">
      <c r="M773" s="113"/>
      <c r="N773" s="113"/>
      <c r="O773" s="113"/>
      <c r="P773" s="113"/>
      <c r="AC773" s="117"/>
      <c r="AD773" s="118"/>
    </row>
    <row r="774" ht="15.75" customHeight="1">
      <c r="M774" s="113"/>
      <c r="N774" s="113"/>
      <c r="O774" s="113"/>
      <c r="P774" s="113"/>
      <c r="AC774" s="117"/>
      <c r="AD774" s="118"/>
    </row>
    <row r="775" ht="15.75" customHeight="1">
      <c r="M775" s="113"/>
      <c r="N775" s="113"/>
      <c r="O775" s="113"/>
      <c r="P775" s="113"/>
      <c r="AC775" s="117"/>
      <c r="AD775" s="118"/>
    </row>
    <row r="776" ht="15.75" customHeight="1">
      <c r="M776" s="113"/>
      <c r="N776" s="113"/>
      <c r="O776" s="113"/>
      <c r="P776" s="113"/>
      <c r="AC776" s="117"/>
      <c r="AD776" s="118"/>
    </row>
    <row r="777" ht="15.75" customHeight="1">
      <c r="M777" s="113"/>
      <c r="N777" s="113"/>
      <c r="O777" s="113"/>
      <c r="P777" s="113"/>
      <c r="AC777" s="117"/>
      <c r="AD777" s="118"/>
    </row>
    <row r="778" ht="15.75" customHeight="1">
      <c r="M778" s="113"/>
      <c r="N778" s="113"/>
      <c r="O778" s="113"/>
      <c r="P778" s="113"/>
      <c r="AC778" s="117"/>
      <c r="AD778" s="118"/>
    </row>
    <row r="779" ht="15.75" customHeight="1">
      <c r="M779" s="113"/>
      <c r="N779" s="113"/>
      <c r="O779" s="113"/>
      <c r="P779" s="113"/>
      <c r="AC779" s="117"/>
      <c r="AD779" s="118"/>
    </row>
    <row r="780" ht="15.75" customHeight="1">
      <c r="M780" s="113"/>
      <c r="N780" s="113"/>
      <c r="O780" s="113"/>
      <c r="P780" s="113"/>
      <c r="AC780" s="117"/>
      <c r="AD780" s="118"/>
    </row>
    <row r="781" ht="15.75" customHeight="1">
      <c r="M781" s="113"/>
      <c r="N781" s="113"/>
      <c r="O781" s="113"/>
      <c r="P781" s="113"/>
      <c r="AC781" s="117"/>
      <c r="AD781" s="118"/>
    </row>
    <row r="782" ht="15.75" customHeight="1">
      <c r="M782" s="113"/>
      <c r="N782" s="113"/>
      <c r="O782" s="113"/>
      <c r="P782" s="113"/>
      <c r="AC782" s="117"/>
      <c r="AD782" s="118"/>
    </row>
    <row r="783" ht="15.75" customHeight="1">
      <c r="M783" s="113"/>
      <c r="N783" s="113"/>
      <c r="O783" s="113"/>
      <c r="P783" s="113"/>
      <c r="AC783" s="117"/>
      <c r="AD783" s="118"/>
    </row>
    <row r="784" ht="15.75" customHeight="1">
      <c r="M784" s="113"/>
      <c r="N784" s="113"/>
      <c r="O784" s="113"/>
      <c r="P784" s="113"/>
      <c r="AC784" s="117"/>
      <c r="AD784" s="118"/>
    </row>
    <row r="785" ht="15.75" customHeight="1">
      <c r="M785" s="113"/>
      <c r="N785" s="113"/>
      <c r="O785" s="113"/>
      <c r="P785" s="113"/>
      <c r="AC785" s="117"/>
      <c r="AD785" s="118"/>
    </row>
    <row r="786" ht="15.75" customHeight="1">
      <c r="M786" s="113"/>
      <c r="N786" s="113"/>
      <c r="O786" s="113"/>
      <c r="P786" s="113"/>
      <c r="AC786" s="117"/>
      <c r="AD786" s="118"/>
    </row>
    <row r="787" ht="15.75" customHeight="1">
      <c r="M787" s="113"/>
      <c r="N787" s="113"/>
      <c r="O787" s="113"/>
      <c r="P787" s="113"/>
      <c r="AC787" s="117"/>
      <c r="AD787" s="118"/>
    </row>
    <row r="788" ht="15.75" customHeight="1">
      <c r="M788" s="113"/>
      <c r="N788" s="113"/>
      <c r="O788" s="113"/>
      <c r="P788" s="113"/>
      <c r="AC788" s="117"/>
      <c r="AD788" s="118"/>
    </row>
    <row r="789" ht="15.75" customHeight="1">
      <c r="M789" s="113"/>
      <c r="N789" s="113"/>
      <c r="O789" s="113"/>
      <c r="P789" s="113"/>
      <c r="AC789" s="117"/>
      <c r="AD789" s="118"/>
    </row>
    <row r="790" ht="15.75" customHeight="1">
      <c r="M790" s="113"/>
      <c r="N790" s="113"/>
      <c r="O790" s="113"/>
      <c r="P790" s="113"/>
      <c r="AC790" s="117"/>
      <c r="AD790" s="118"/>
    </row>
    <row r="791" ht="15.75" customHeight="1">
      <c r="M791" s="113"/>
      <c r="N791" s="113"/>
      <c r="O791" s="113"/>
      <c r="P791" s="113"/>
      <c r="AC791" s="117"/>
      <c r="AD791" s="118"/>
    </row>
    <row r="792" ht="15.75" customHeight="1">
      <c r="M792" s="113"/>
      <c r="N792" s="113"/>
      <c r="O792" s="113"/>
      <c r="P792" s="113"/>
      <c r="AC792" s="117"/>
      <c r="AD792" s="118"/>
    </row>
    <row r="793" ht="15.75" customHeight="1">
      <c r="M793" s="113"/>
      <c r="N793" s="113"/>
      <c r="O793" s="113"/>
      <c r="P793" s="113"/>
      <c r="AC793" s="117"/>
      <c r="AD793" s="118"/>
    </row>
    <row r="794" ht="15.75" customHeight="1">
      <c r="M794" s="113"/>
      <c r="N794" s="113"/>
      <c r="O794" s="113"/>
      <c r="P794" s="113"/>
      <c r="AC794" s="117"/>
      <c r="AD794" s="118"/>
    </row>
    <row r="795" ht="15.75" customHeight="1">
      <c r="M795" s="113"/>
      <c r="N795" s="113"/>
      <c r="O795" s="113"/>
      <c r="P795" s="113"/>
      <c r="AC795" s="117"/>
      <c r="AD795" s="118"/>
    </row>
    <row r="796" ht="15.75" customHeight="1">
      <c r="M796" s="113"/>
      <c r="N796" s="113"/>
      <c r="O796" s="113"/>
      <c r="P796" s="113"/>
      <c r="AC796" s="117"/>
      <c r="AD796" s="118"/>
    </row>
    <row r="797" ht="15.75" customHeight="1">
      <c r="M797" s="113"/>
      <c r="N797" s="113"/>
      <c r="O797" s="113"/>
      <c r="P797" s="113"/>
      <c r="AC797" s="117"/>
      <c r="AD797" s="118"/>
    </row>
    <row r="798" ht="15.75" customHeight="1">
      <c r="M798" s="113"/>
      <c r="N798" s="113"/>
      <c r="O798" s="113"/>
      <c r="P798" s="113"/>
      <c r="AC798" s="117"/>
      <c r="AD798" s="118"/>
    </row>
    <row r="799" ht="15.75" customHeight="1">
      <c r="M799" s="113"/>
      <c r="N799" s="113"/>
      <c r="O799" s="113"/>
      <c r="P799" s="113"/>
      <c r="AC799" s="117"/>
      <c r="AD799" s="118"/>
    </row>
    <row r="800" ht="15.75" customHeight="1">
      <c r="M800" s="113"/>
      <c r="N800" s="113"/>
      <c r="O800" s="113"/>
      <c r="P800" s="113"/>
      <c r="AC800" s="117"/>
      <c r="AD800" s="118"/>
    </row>
    <row r="801" ht="15.75" customHeight="1">
      <c r="M801" s="113"/>
      <c r="N801" s="113"/>
      <c r="O801" s="113"/>
      <c r="P801" s="113"/>
      <c r="AC801" s="117"/>
      <c r="AD801" s="118"/>
    </row>
    <row r="802" ht="15.75" customHeight="1">
      <c r="M802" s="113"/>
      <c r="N802" s="113"/>
      <c r="O802" s="113"/>
      <c r="P802" s="113"/>
      <c r="AC802" s="117"/>
      <c r="AD802" s="118"/>
    </row>
    <row r="803" ht="15.75" customHeight="1">
      <c r="M803" s="113"/>
      <c r="N803" s="113"/>
      <c r="O803" s="113"/>
      <c r="P803" s="113"/>
      <c r="AC803" s="117"/>
      <c r="AD803" s="118"/>
    </row>
    <row r="804" ht="15.75" customHeight="1">
      <c r="M804" s="113"/>
      <c r="N804" s="113"/>
      <c r="O804" s="113"/>
      <c r="P804" s="113"/>
      <c r="AC804" s="117"/>
      <c r="AD804" s="118"/>
    </row>
    <row r="805" ht="15.75" customHeight="1">
      <c r="M805" s="113"/>
      <c r="N805" s="113"/>
      <c r="O805" s="113"/>
      <c r="P805" s="113"/>
      <c r="AC805" s="117"/>
      <c r="AD805" s="118"/>
    </row>
    <row r="806" ht="15.75" customHeight="1">
      <c r="M806" s="113"/>
      <c r="N806" s="113"/>
      <c r="O806" s="113"/>
      <c r="P806" s="113"/>
      <c r="AC806" s="117"/>
      <c r="AD806" s="118"/>
    </row>
    <row r="807" ht="15.75" customHeight="1">
      <c r="M807" s="113"/>
      <c r="N807" s="113"/>
      <c r="O807" s="113"/>
      <c r="P807" s="113"/>
      <c r="AC807" s="117"/>
      <c r="AD807" s="118"/>
    </row>
    <row r="808" ht="15.75" customHeight="1">
      <c r="M808" s="113"/>
      <c r="N808" s="113"/>
      <c r="O808" s="113"/>
      <c r="P808" s="113"/>
      <c r="AC808" s="117"/>
      <c r="AD808" s="118"/>
    </row>
    <row r="809" ht="15.75" customHeight="1">
      <c r="M809" s="113"/>
      <c r="N809" s="113"/>
      <c r="O809" s="113"/>
      <c r="P809" s="113"/>
      <c r="AC809" s="117"/>
      <c r="AD809" s="118"/>
    </row>
    <row r="810" ht="15.75" customHeight="1">
      <c r="M810" s="113"/>
      <c r="N810" s="113"/>
      <c r="O810" s="113"/>
      <c r="P810" s="113"/>
      <c r="AC810" s="117"/>
      <c r="AD810" s="118"/>
    </row>
    <row r="811" ht="15.75" customHeight="1">
      <c r="M811" s="113"/>
      <c r="N811" s="113"/>
      <c r="O811" s="113"/>
      <c r="P811" s="113"/>
      <c r="AC811" s="117"/>
      <c r="AD811" s="118"/>
    </row>
    <row r="812" ht="15.75" customHeight="1">
      <c r="M812" s="113"/>
      <c r="N812" s="113"/>
      <c r="O812" s="113"/>
      <c r="P812" s="113"/>
      <c r="AC812" s="117"/>
      <c r="AD812" s="118"/>
    </row>
    <row r="813" ht="15.75" customHeight="1">
      <c r="M813" s="113"/>
      <c r="N813" s="113"/>
      <c r="O813" s="113"/>
      <c r="P813" s="113"/>
      <c r="AC813" s="117"/>
      <c r="AD813" s="118"/>
    </row>
    <row r="814" ht="15.75" customHeight="1">
      <c r="M814" s="113"/>
      <c r="N814" s="113"/>
      <c r="O814" s="113"/>
      <c r="P814" s="113"/>
      <c r="AC814" s="117"/>
      <c r="AD814" s="118"/>
    </row>
    <row r="815" ht="15.75" customHeight="1">
      <c r="M815" s="113"/>
      <c r="N815" s="113"/>
      <c r="O815" s="113"/>
      <c r="P815" s="113"/>
      <c r="AC815" s="117"/>
      <c r="AD815" s="118"/>
    </row>
    <row r="816" ht="15.75" customHeight="1">
      <c r="M816" s="113"/>
      <c r="N816" s="113"/>
      <c r="O816" s="113"/>
      <c r="P816" s="113"/>
      <c r="AC816" s="117"/>
      <c r="AD816" s="118"/>
    </row>
    <row r="817" ht="15.75" customHeight="1">
      <c r="M817" s="113"/>
      <c r="N817" s="113"/>
      <c r="O817" s="113"/>
      <c r="P817" s="113"/>
      <c r="AC817" s="117"/>
      <c r="AD817" s="118"/>
    </row>
    <row r="818" ht="15.75" customHeight="1">
      <c r="M818" s="113"/>
      <c r="N818" s="113"/>
      <c r="O818" s="113"/>
      <c r="P818" s="113"/>
      <c r="AC818" s="117"/>
      <c r="AD818" s="118"/>
    </row>
    <row r="819" ht="15.75" customHeight="1">
      <c r="M819" s="113"/>
      <c r="N819" s="113"/>
      <c r="O819" s="113"/>
      <c r="P819" s="113"/>
      <c r="AC819" s="117"/>
      <c r="AD819" s="118"/>
    </row>
    <row r="820" ht="15.75" customHeight="1">
      <c r="M820" s="113"/>
      <c r="N820" s="113"/>
      <c r="O820" s="113"/>
      <c r="P820" s="113"/>
      <c r="AC820" s="117"/>
      <c r="AD820" s="118"/>
    </row>
    <row r="821" ht="15.75" customHeight="1">
      <c r="M821" s="113"/>
      <c r="N821" s="113"/>
      <c r="O821" s="113"/>
      <c r="P821" s="113"/>
      <c r="AC821" s="117"/>
      <c r="AD821" s="118"/>
    </row>
    <row r="822" ht="15.75" customHeight="1">
      <c r="M822" s="113"/>
      <c r="N822" s="113"/>
      <c r="O822" s="113"/>
      <c r="P822" s="113"/>
      <c r="AC822" s="117"/>
      <c r="AD822" s="118"/>
    </row>
    <row r="823" ht="15.75" customHeight="1">
      <c r="M823" s="113"/>
      <c r="N823" s="113"/>
      <c r="O823" s="113"/>
      <c r="P823" s="113"/>
      <c r="AC823" s="117"/>
      <c r="AD823" s="118"/>
    </row>
    <row r="824" ht="15.75" customHeight="1">
      <c r="M824" s="113"/>
      <c r="N824" s="113"/>
      <c r="O824" s="113"/>
      <c r="P824" s="113"/>
      <c r="AC824" s="117"/>
      <c r="AD824" s="118"/>
    </row>
    <row r="825" ht="15.75" customHeight="1">
      <c r="M825" s="113"/>
      <c r="N825" s="113"/>
      <c r="O825" s="113"/>
      <c r="P825" s="113"/>
      <c r="AC825" s="117"/>
      <c r="AD825" s="118"/>
    </row>
    <row r="826" ht="15.75" customHeight="1">
      <c r="M826" s="113"/>
      <c r="N826" s="113"/>
      <c r="O826" s="113"/>
      <c r="P826" s="113"/>
      <c r="AC826" s="117"/>
      <c r="AD826" s="118"/>
    </row>
    <row r="827" ht="15.75" customHeight="1">
      <c r="M827" s="113"/>
      <c r="N827" s="113"/>
      <c r="O827" s="113"/>
      <c r="P827" s="113"/>
      <c r="AC827" s="117"/>
      <c r="AD827" s="118"/>
    </row>
    <row r="828" ht="15.75" customHeight="1">
      <c r="M828" s="113"/>
      <c r="N828" s="113"/>
      <c r="O828" s="113"/>
      <c r="P828" s="113"/>
      <c r="AC828" s="117"/>
      <c r="AD828" s="118"/>
    </row>
    <row r="829" ht="15.75" customHeight="1">
      <c r="M829" s="113"/>
      <c r="N829" s="113"/>
      <c r="O829" s="113"/>
      <c r="P829" s="113"/>
      <c r="AC829" s="117"/>
      <c r="AD829" s="118"/>
    </row>
    <row r="830" ht="15.75" customHeight="1">
      <c r="M830" s="113"/>
      <c r="N830" s="113"/>
      <c r="O830" s="113"/>
      <c r="P830" s="113"/>
      <c r="AC830" s="117"/>
      <c r="AD830" s="118"/>
    </row>
    <row r="831" ht="15.75" customHeight="1">
      <c r="M831" s="113"/>
      <c r="N831" s="113"/>
      <c r="O831" s="113"/>
      <c r="P831" s="113"/>
      <c r="AC831" s="117"/>
      <c r="AD831" s="118"/>
    </row>
    <row r="832" ht="15.75" customHeight="1">
      <c r="M832" s="113"/>
      <c r="N832" s="113"/>
      <c r="O832" s="113"/>
      <c r="P832" s="113"/>
      <c r="AC832" s="117"/>
      <c r="AD832" s="118"/>
    </row>
    <row r="833" ht="15.75" customHeight="1">
      <c r="M833" s="113"/>
      <c r="N833" s="113"/>
      <c r="O833" s="113"/>
      <c r="P833" s="113"/>
      <c r="AC833" s="117"/>
      <c r="AD833" s="118"/>
    </row>
    <row r="834" ht="15.75" customHeight="1">
      <c r="M834" s="113"/>
      <c r="N834" s="113"/>
      <c r="O834" s="113"/>
      <c r="P834" s="113"/>
      <c r="AC834" s="117"/>
      <c r="AD834" s="118"/>
    </row>
    <row r="835" ht="15.75" customHeight="1">
      <c r="M835" s="113"/>
      <c r="N835" s="113"/>
      <c r="O835" s="113"/>
      <c r="P835" s="113"/>
      <c r="AC835" s="117"/>
      <c r="AD835" s="118"/>
    </row>
    <row r="836" ht="15.75" customHeight="1">
      <c r="M836" s="113"/>
      <c r="N836" s="113"/>
      <c r="O836" s="113"/>
      <c r="P836" s="113"/>
      <c r="AC836" s="117"/>
      <c r="AD836" s="118"/>
    </row>
    <row r="837" ht="15.75" customHeight="1">
      <c r="M837" s="113"/>
      <c r="N837" s="113"/>
      <c r="O837" s="113"/>
      <c r="P837" s="113"/>
      <c r="AC837" s="117"/>
      <c r="AD837" s="118"/>
    </row>
    <row r="838" ht="15.75" customHeight="1">
      <c r="M838" s="113"/>
      <c r="N838" s="113"/>
      <c r="O838" s="113"/>
      <c r="P838" s="113"/>
      <c r="AC838" s="117"/>
      <c r="AD838" s="118"/>
    </row>
    <row r="839" ht="15.75" customHeight="1">
      <c r="M839" s="113"/>
      <c r="N839" s="113"/>
      <c r="O839" s="113"/>
      <c r="P839" s="113"/>
      <c r="AC839" s="117"/>
      <c r="AD839" s="118"/>
    </row>
    <row r="840" ht="15.75" customHeight="1">
      <c r="M840" s="113"/>
      <c r="N840" s="113"/>
      <c r="O840" s="113"/>
      <c r="P840" s="113"/>
      <c r="AC840" s="117"/>
      <c r="AD840" s="118"/>
    </row>
    <row r="841" ht="15.75" customHeight="1">
      <c r="M841" s="113"/>
      <c r="N841" s="113"/>
      <c r="O841" s="113"/>
      <c r="P841" s="113"/>
      <c r="AC841" s="117"/>
      <c r="AD841" s="118"/>
    </row>
    <row r="842" ht="15.75" customHeight="1">
      <c r="M842" s="113"/>
      <c r="N842" s="113"/>
      <c r="O842" s="113"/>
      <c r="P842" s="113"/>
      <c r="AC842" s="117"/>
      <c r="AD842" s="118"/>
    </row>
    <row r="843" ht="15.75" customHeight="1">
      <c r="M843" s="113"/>
      <c r="N843" s="113"/>
      <c r="O843" s="113"/>
      <c r="P843" s="113"/>
      <c r="AC843" s="117"/>
      <c r="AD843" s="118"/>
    </row>
    <row r="844" ht="15.75" customHeight="1">
      <c r="M844" s="113"/>
      <c r="N844" s="113"/>
      <c r="O844" s="113"/>
      <c r="P844" s="113"/>
      <c r="AC844" s="117"/>
      <c r="AD844" s="118"/>
    </row>
    <row r="845" ht="15.75" customHeight="1">
      <c r="M845" s="113"/>
      <c r="N845" s="113"/>
      <c r="O845" s="113"/>
      <c r="P845" s="113"/>
      <c r="AC845" s="117"/>
      <c r="AD845" s="118"/>
    </row>
    <row r="846" ht="15.75" customHeight="1">
      <c r="M846" s="113"/>
      <c r="N846" s="113"/>
      <c r="O846" s="113"/>
      <c r="P846" s="113"/>
      <c r="AC846" s="117"/>
      <c r="AD846" s="118"/>
    </row>
    <row r="847" ht="15.75" customHeight="1">
      <c r="M847" s="113"/>
      <c r="N847" s="113"/>
      <c r="O847" s="113"/>
      <c r="P847" s="113"/>
      <c r="AC847" s="117"/>
      <c r="AD847" s="118"/>
    </row>
    <row r="848" ht="15.75" customHeight="1">
      <c r="M848" s="113"/>
      <c r="N848" s="113"/>
      <c r="O848" s="113"/>
      <c r="P848" s="113"/>
      <c r="AC848" s="117"/>
      <c r="AD848" s="118"/>
    </row>
    <row r="849" ht="15.75" customHeight="1">
      <c r="M849" s="113"/>
      <c r="N849" s="113"/>
      <c r="O849" s="113"/>
      <c r="P849" s="113"/>
      <c r="AC849" s="117"/>
      <c r="AD849" s="118"/>
    </row>
    <row r="850" ht="15.75" customHeight="1">
      <c r="M850" s="113"/>
      <c r="N850" s="113"/>
      <c r="O850" s="113"/>
      <c r="P850" s="113"/>
      <c r="AC850" s="117"/>
      <c r="AD850" s="118"/>
    </row>
    <row r="851" ht="15.75" customHeight="1">
      <c r="M851" s="113"/>
      <c r="N851" s="113"/>
      <c r="O851" s="113"/>
      <c r="P851" s="113"/>
      <c r="AC851" s="117"/>
      <c r="AD851" s="118"/>
    </row>
    <row r="852" ht="15.75" customHeight="1">
      <c r="M852" s="113"/>
      <c r="N852" s="113"/>
      <c r="O852" s="113"/>
      <c r="P852" s="113"/>
      <c r="AC852" s="117"/>
      <c r="AD852" s="118"/>
    </row>
    <row r="853" ht="15.75" customHeight="1">
      <c r="M853" s="113"/>
      <c r="N853" s="113"/>
      <c r="O853" s="113"/>
      <c r="P853" s="113"/>
      <c r="AC853" s="117"/>
      <c r="AD853" s="118"/>
    </row>
    <row r="854" ht="15.75" customHeight="1">
      <c r="M854" s="113"/>
      <c r="N854" s="113"/>
      <c r="O854" s="113"/>
      <c r="P854" s="113"/>
      <c r="AC854" s="117"/>
      <c r="AD854" s="118"/>
    </row>
    <row r="855" ht="15.75" customHeight="1">
      <c r="M855" s="113"/>
      <c r="N855" s="113"/>
      <c r="O855" s="113"/>
      <c r="P855" s="113"/>
      <c r="AC855" s="117"/>
      <c r="AD855" s="118"/>
    </row>
    <row r="856" ht="15.75" customHeight="1">
      <c r="M856" s="113"/>
      <c r="N856" s="113"/>
      <c r="O856" s="113"/>
      <c r="P856" s="113"/>
      <c r="AC856" s="117"/>
      <c r="AD856" s="118"/>
    </row>
    <row r="857" ht="15.75" customHeight="1">
      <c r="M857" s="113"/>
      <c r="N857" s="113"/>
      <c r="O857" s="113"/>
      <c r="P857" s="113"/>
      <c r="AC857" s="117"/>
      <c r="AD857" s="118"/>
    </row>
    <row r="858" ht="15.75" customHeight="1">
      <c r="M858" s="113"/>
      <c r="N858" s="113"/>
      <c r="O858" s="113"/>
      <c r="P858" s="113"/>
      <c r="AC858" s="117"/>
      <c r="AD858" s="118"/>
    </row>
    <row r="859" ht="15.75" customHeight="1">
      <c r="M859" s="113"/>
      <c r="N859" s="113"/>
      <c r="O859" s="113"/>
      <c r="P859" s="113"/>
      <c r="AC859" s="117"/>
      <c r="AD859" s="118"/>
    </row>
    <row r="860" ht="15.75" customHeight="1">
      <c r="M860" s="113"/>
      <c r="N860" s="113"/>
      <c r="O860" s="113"/>
      <c r="P860" s="113"/>
      <c r="AC860" s="117"/>
      <c r="AD860" s="118"/>
    </row>
    <row r="861" ht="15.75" customHeight="1">
      <c r="M861" s="113"/>
      <c r="N861" s="113"/>
      <c r="O861" s="113"/>
      <c r="P861" s="113"/>
      <c r="AC861" s="117"/>
      <c r="AD861" s="118"/>
    </row>
    <row r="862" ht="15.75" customHeight="1">
      <c r="M862" s="113"/>
      <c r="N862" s="113"/>
      <c r="O862" s="113"/>
      <c r="P862" s="113"/>
      <c r="AC862" s="117"/>
      <c r="AD862" s="118"/>
    </row>
    <row r="863" ht="15.75" customHeight="1">
      <c r="M863" s="113"/>
      <c r="N863" s="113"/>
      <c r="O863" s="113"/>
      <c r="P863" s="113"/>
      <c r="AC863" s="117"/>
      <c r="AD863" s="118"/>
    </row>
    <row r="864" ht="15.75" customHeight="1">
      <c r="M864" s="113"/>
      <c r="N864" s="113"/>
      <c r="O864" s="113"/>
      <c r="P864" s="113"/>
      <c r="AC864" s="117"/>
      <c r="AD864" s="118"/>
    </row>
    <row r="865" ht="15.75" customHeight="1">
      <c r="M865" s="113"/>
      <c r="N865" s="113"/>
      <c r="O865" s="113"/>
      <c r="P865" s="113"/>
      <c r="AC865" s="117"/>
      <c r="AD865" s="118"/>
    </row>
    <row r="866" ht="15.75" customHeight="1">
      <c r="M866" s="113"/>
      <c r="N866" s="113"/>
      <c r="O866" s="113"/>
      <c r="P866" s="113"/>
      <c r="AC866" s="117"/>
      <c r="AD866" s="118"/>
    </row>
    <row r="867" ht="15.75" customHeight="1">
      <c r="M867" s="113"/>
      <c r="N867" s="113"/>
      <c r="O867" s="113"/>
      <c r="P867" s="113"/>
      <c r="AC867" s="117"/>
      <c r="AD867" s="118"/>
    </row>
    <row r="868" ht="15.75" customHeight="1">
      <c r="M868" s="113"/>
      <c r="N868" s="113"/>
      <c r="O868" s="113"/>
      <c r="P868" s="113"/>
      <c r="AC868" s="117"/>
      <c r="AD868" s="118"/>
    </row>
    <row r="869" ht="15.75" customHeight="1">
      <c r="M869" s="113"/>
      <c r="N869" s="113"/>
      <c r="O869" s="113"/>
      <c r="P869" s="113"/>
      <c r="AC869" s="117"/>
      <c r="AD869" s="118"/>
    </row>
    <row r="870" ht="15.75" customHeight="1">
      <c r="M870" s="113"/>
      <c r="N870" s="113"/>
      <c r="O870" s="113"/>
      <c r="P870" s="113"/>
      <c r="AC870" s="117"/>
      <c r="AD870" s="118"/>
    </row>
    <row r="871" ht="15.75" customHeight="1">
      <c r="M871" s="113"/>
      <c r="N871" s="113"/>
      <c r="O871" s="113"/>
      <c r="P871" s="113"/>
      <c r="AC871" s="117"/>
      <c r="AD871" s="118"/>
    </row>
    <row r="872" ht="15.75" customHeight="1">
      <c r="M872" s="113"/>
      <c r="N872" s="113"/>
      <c r="O872" s="113"/>
      <c r="P872" s="113"/>
      <c r="AC872" s="117"/>
      <c r="AD872" s="118"/>
    </row>
    <row r="873" ht="15.75" customHeight="1">
      <c r="M873" s="113"/>
      <c r="N873" s="113"/>
      <c r="O873" s="113"/>
      <c r="P873" s="113"/>
      <c r="AC873" s="117"/>
      <c r="AD873" s="118"/>
    </row>
    <row r="874" ht="15.75" customHeight="1">
      <c r="M874" s="113"/>
      <c r="N874" s="113"/>
      <c r="O874" s="113"/>
      <c r="P874" s="113"/>
      <c r="AC874" s="117"/>
      <c r="AD874" s="118"/>
    </row>
    <row r="875" ht="15.75" customHeight="1">
      <c r="M875" s="113"/>
      <c r="N875" s="113"/>
      <c r="O875" s="113"/>
      <c r="P875" s="113"/>
      <c r="AC875" s="117"/>
      <c r="AD875" s="118"/>
    </row>
    <row r="876" ht="15.75" customHeight="1">
      <c r="M876" s="113"/>
      <c r="N876" s="113"/>
      <c r="O876" s="113"/>
      <c r="P876" s="113"/>
      <c r="AC876" s="117"/>
      <c r="AD876" s="118"/>
    </row>
    <row r="877" ht="15.75" customHeight="1">
      <c r="M877" s="113"/>
      <c r="N877" s="113"/>
      <c r="O877" s="113"/>
      <c r="P877" s="113"/>
      <c r="AC877" s="117"/>
      <c r="AD877" s="118"/>
    </row>
    <row r="878" ht="15.75" customHeight="1">
      <c r="M878" s="113"/>
      <c r="N878" s="113"/>
      <c r="O878" s="113"/>
      <c r="P878" s="113"/>
      <c r="AC878" s="117"/>
      <c r="AD878" s="118"/>
    </row>
    <row r="879" ht="15.75" customHeight="1">
      <c r="M879" s="113"/>
      <c r="N879" s="113"/>
      <c r="O879" s="113"/>
      <c r="P879" s="113"/>
      <c r="AC879" s="117"/>
      <c r="AD879" s="118"/>
    </row>
    <row r="880" ht="15.75" customHeight="1">
      <c r="M880" s="113"/>
      <c r="N880" s="113"/>
      <c r="O880" s="113"/>
      <c r="P880" s="113"/>
      <c r="AC880" s="117"/>
      <c r="AD880" s="118"/>
    </row>
    <row r="881" ht="15.75" customHeight="1">
      <c r="M881" s="113"/>
      <c r="N881" s="113"/>
      <c r="O881" s="113"/>
      <c r="P881" s="113"/>
      <c r="AC881" s="117"/>
      <c r="AD881" s="118"/>
    </row>
    <row r="882" ht="15.75" customHeight="1">
      <c r="M882" s="113"/>
      <c r="N882" s="113"/>
      <c r="O882" s="113"/>
      <c r="P882" s="113"/>
      <c r="AC882" s="117"/>
      <c r="AD882" s="118"/>
    </row>
    <row r="883" ht="15.75" customHeight="1">
      <c r="M883" s="113"/>
      <c r="N883" s="113"/>
      <c r="O883" s="113"/>
      <c r="P883" s="113"/>
      <c r="AC883" s="117"/>
      <c r="AD883" s="118"/>
    </row>
    <row r="884" ht="15.75" customHeight="1">
      <c r="M884" s="113"/>
      <c r="N884" s="113"/>
      <c r="O884" s="113"/>
      <c r="P884" s="113"/>
      <c r="AC884" s="117"/>
      <c r="AD884" s="118"/>
    </row>
    <row r="885" ht="15.75" customHeight="1">
      <c r="M885" s="113"/>
      <c r="N885" s="113"/>
      <c r="O885" s="113"/>
      <c r="P885" s="113"/>
      <c r="AC885" s="117"/>
      <c r="AD885" s="118"/>
    </row>
    <row r="886" ht="15.75" customHeight="1">
      <c r="M886" s="113"/>
      <c r="N886" s="113"/>
      <c r="O886" s="113"/>
      <c r="P886" s="113"/>
      <c r="AC886" s="117"/>
      <c r="AD886" s="118"/>
    </row>
    <row r="887" ht="15.75" customHeight="1">
      <c r="M887" s="113"/>
      <c r="N887" s="113"/>
      <c r="O887" s="113"/>
      <c r="P887" s="113"/>
      <c r="AC887" s="117"/>
      <c r="AD887" s="118"/>
    </row>
    <row r="888" ht="15.75" customHeight="1">
      <c r="M888" s="113"/>
      <c r="N888" s="113"/>
      <c r="O888" s="113"/>
      <c r="P888" s="113"/>
      <c r="AC888" s="117"/>
      <c r="AD888" s="118"/>
    </row>
    <row r="889" ht="15.75" customHeight="1">
      <c r="M889" s="113"/>
      <c r="N889" s="113"/>
      <c r="O889" s="113"/>
      <c r="P889" s="113"/>
      <c r="AC889" s="117"/>
      <c r="AD889" s="118"/>
    </row>
    <row r="890" ht="15.75" customHeight="1">
      <c r="M890" s="113"/>
      <c r="N890" s="113"/>
      <c r="O890" s="113"/>
      <c r="P890" s="113"/>
      <c r="AC890" s="117"/>
      <c r="AD890" s="118"/>
    </row>
    <row r="891" ht="15.75" customHeight="1">
      <c r="M891" s="113"/>
      <c r="N891" s="113"/>
      <c r="O891" s="113"/>
      <c r="P891" s="113"/>
      <c r="AC891" s="117"/>
      <c r="AD891" s="118"/>
    </row>
    <row r="892" ht="15.75" customHeight="1">
      <c r="M892" s="113"/>
      <c r="N892" s="113"/>
      <c r="O892" s="113"/>
      <c r="P892" s="113"/>
      <c r="AC892" s="117"/>
      <c r="AD892" s="118"/>
    </row>
    <row r="893" ht="15.75" customHeight="1">
      <c r="M893" s="113"/>
      <c r="N893" s="113"/>
      <c r="O893" s="113"/>
      <c r="P893" s="113"/>
      <c r="AC893" s="117"/>
      <c r="AD893" s="118"/>
    </row>
    <row r="894" ht="15.75" customHeight="1">
      <c r="M894" s="113"/>
      <c r="N894" s="113"/>
      <c r="O894" s="113"/>
      <c r="P894" s="113"/>
      <c r="AC894" s="117"/>
      <c r="AD894" s="118"/>
    </row>
    <row r="895" ht="15.75" customHeight="1">
      <c r="M895" s="113"/>
      <c r="N895" s="113"/>
      <c r="O895" s="113"/>
      <c r="P895" s="113"/>
      <c r="AC895" s="117"/>
      <c r="AD895" s="118"/>
    </row>
    <row r="896" ht="15.75" customHeight="1">
      <c r="M896" s="113"/>
      <c r="N896" s="113"/>
      <c r="O896" s="113"/>
      <c r="P896" s="113"/>
      <c r="AC896" s="117"/>
      <c r="AD896" s="118"/>
    </row>
    <row r="897" ht="15.75" customHeight="1">
      <c r="M897" s="113"/>
      <c r="N897" s="113"/>
      <c r="O897" s="113"/>
      <c r="P897" s="113"/>
      <c r="AC897" s="117"/>
      <c r="AD897" s="118"/>
    </row>
    <row r="898" ht="15.75" customHeight="1">
      <c r="M898" s="113"/>
      <c r="N898" s="113"/>
      <c r="O898" s="113"/>
      <c r="P898" s="113"/>
      <c r="AC898" s="117"/>
      <c r="AD898" s="118"/>
    </row>
    <row r="899" ht="15.75" customHeight="1">
      <c r="M899" s="113"/>
      <c r="N899" s="113"/>
      <c r="O899" s="113"/>
      <c r="P899" s="113"/>
      <c r="AC899" s="117"/>
      <c r="AD899" s="118"/>
    </row>
    <row r="900" ht="15.75" customHeight="1">
      <c r="M900" s="113"/>
      <c r="N900" s="113"/>
      <c r="O900" s="113"/>
      <c r="P900" s="113"/>
      <c r="AC900" s="117"/>
      <c r="AD900" s="118"/>
    </row>
    <row r="901" ht="15.75" customHeight="1">
      <c r="M901" s="113"/>
      <c r="N901" s="113"/>
      <c r="O901" s="113"/>
      <c r="P901" s="113"/>
      <c r="AC901" s="117"/>
      <c r="AD901" s="118"/>
    </row>
    <row r="902" ht="15.75" customHeight="1">
      <c r="M902" s="113"/>
      <c r="N902" s="113"/>
      <c r="O902" s="113"/>
      <c r="P902" s="113"/>
      <c r="AC902" s="117"/>
      <c r="AD902" s="118"/>
    </row>
    <row r="903" ht="15.75" customHeight="1">
      <c r="M903" s="113"/>
      <c r="N903" s="113"/>
      <c r="O903" s="113"/>
      <c r="P903" s="113"/>
      <c r="AC903" s="117"/>
      <c r="AD903" s="118"/>
    </row>
    <row r="904" ht="15.75" customHeight="1">
      <c r="M904" s="113"/>
      <c r="N904" s="113"/>
      <c r="O904" s="113"/>
      <c r="P904" s="113"/>
      <c r="AC904" s="117"/>
      <c r="AD904" s="118"/>
    </row>
    <row r="905" ht="15.75" customHeight="1">
      <c r="M905" s="113"/>
      <c r="N905" s="113"/>
      <c r="O905" s="113"/>
      <c r="P905" s="113"/>
      <c r="AC905" s="117"/>
      <c r="AD905" s="118"/>
    </row>
    <row r="906" ht="15.75" customHeight="1">
      <c r="M906" s="113"/>
      <c r="N906" s="113"/>
      <c r="O906" s="113"/>
      <c r="P906" s="113"/>
      <c r="AC906" s="117"/>
      <c r="AD906" s="118"/>
    </row>
    <row r="907" ht="15.75" customHeight="1">
      <c r="M907" s="113"/>
      <c r="N907" s="113"/>
      <c r="O907" s="113"/>
      <c r="P907" s="113"/>
      <c r="AC907" s="117"/>
      <c r="AD907" s="118"/>
    </row>
    <row r="908" ht="15.75" customHeight="1">
      <c r="M908" s="113"/>
      <c r="N908" s="113"/>
      <c r="O908" s="113"/>
      <c r="P908" s="113"/>
      <c r="AC908" s="117"/>
      <c r="AD908" s="118"/>
    </row>
    <row r="909" ht="15.75" customHeight="1">
      <c r="M909" s="113"/>
      <c r="N909" s="113"/>
      <c r="O909" s="113"/>
      <c r="P909" s="113"/>
      <c r="AC909" s="117"/>
      <c r="AD909" s="118"/>
    </row>
    <row r="910" ht="15.75" customHeight="1">
      <c r="M910" s="113"/>
      <c r="N910" s="113"/>
      <c r="O910" s="113"/>
      <c r="P910" s="113"/>
      <c r="AC910" s="117"/>
      <c r="AD910" s="118"/>
    </row>
    <row r="911" ht="15.75" customHeight="1">
      <c r="M911" s="113"/>
      <c r="N911" s="113"/>
      <c r="O911" s="113"/>
      <c r="P911" s="113"/>
      <c r="AC911" s="117"/>
      <c r="AD911" s="118"/>
    </row>
    <row r="912" ht="15.75" customHeight="1">
      <c r="M912" s="113"/>
      <c r="N912" s="113"/>
      <c r="O912" s="113"/>
      <c r="P912" s="113"/>
      <c r="AC912" s="117"/>
      <c r="AD912" s="118"/>
    </row>
    <row r="913" ht="15.75" customHeight="1">
      <c r="M913" s="113"/>
      <c r="N913" s="113"/>
      <c r="O913" s="113"/>
      <c r="P913" s="113"/>
      <c r="AC913" s="117"/>
      <c r="AD913" s="118"/>
    </row>
    <row r="914" ht="15.75" customHeight="1">
      <c r="M914" s="113"/>
      <c r="N914" s="113"/>
      <c r="O914" s="113"/>
      <c r="P914" s="113"/>
      <c r="AC914" s="117"/>
      <c r="AD914" s="118"/>
    </row>
    <row r="915" ht="15.75" customHeight="1">
      <c r="M915" s="113"/>
      <c r="N915" s="113"/>
      <c r="O915" s="113"/>
      <c r="P915" s="113"/>
      <c r="AC915" s="117"/>
      <c r="AD915" s="118"/>
    </row>
    <row r="916" ht="15.75" customHeight="1">
      <c r="M916" s="113"/>
      <c r="N916" s="113"/>
      <c r="O916" s="113"/>
      <c r="P916" s="113"/>
      <c r="AC916" s="117"/>
      <c r="AD916" s="118"/>
    </row>
    <row r="917" ht="15.75" customHeight="1">
      <c r="M917" s="113"/>
      <c r="N917" s="113"/>
      <c r="O917" s="113"/>
      <c r="P917" s="113"/>
      <c r="AC917" s="117"/>
      <c r="AD917" s="118"/>
    </row>
    <row r="918" ht="15.75" customHeight="1">
      <c r="M918" s="113"/>
      <c r="N918" s="113"/>
      <c r="O918" s="113"/>
      <c r="P918" s="113"/>
      <c r="AC918" s="117"/>
      <c r="AD918" s="118"/>
    </row>
    <row r="919" ht="15.75" customHeight="1">
      <c r="M919" s="113"/>
      <c r="N919" s="113"/>
      <c r="O919" s="113"/>
      <c r="P919" s="113"/>
      <c r="AC919" s="117"/>
      <c r="AD919" s="118"/>
    </row>
    <row r="920" ht="15.75" customHeight="1">
      <c r="M920" s="113"/>
      <c r="N920" s="113"/>
      <c r="O920" s="113"/>
      <c r="P920" s="113"/>
      <c r="AC920" s="117"/>
      <c r="AD920" s="118"/>
    </row>
    <row r="921" ht="15.75" customHeight="1">
      <c r="M921" s="113"/>
      <c r="N921" s="113"/>
      <c r="O921" s="113"/>
      <c r="P921" s="113"/>
      <c r="AC921" s="117"/>
      <c r="AD921" s="118"/>
    </row>
    <row r="922" ht="15.75" customHeight="1">
      <c r="M922" s="113"/>
      <c r="N922" s="113"/>
      <c r="O922" s="113"/>
      <c r="P922" s="113"/>
      <c r="AC922" s="117"/>
      <c r="AD922" s="118"/>
    </row>
    <row r="923" ht="15.75" customHeight="1">
      <c r="M923" s="113"/>
      <c r="N923" s="113"/>
      <c r="O923" s="113"/>
      <c r="P923" s="113"/>
      <c r="AC923" s="117"/>
      <c r="AD923" s="118"/>
    </row>
    <row r="924" ht="15.75" customHeight="1">
      <c r="M924" s="113"/>
      <c r="N924" s="113"/>
      <c r="O924" s="113"/>
      <c r="P924" s="113"/>
      <c r="AC924" s="117"/>
      <c r="AD924" s="118"/>
    </row>
    <row r="925" ht="15.75" customHeight="1">
      <c r="M925" s="113"/>
      <c r="N925" s="113"/>
      <c r="O925" s="113"/>
      <c r="P925" s="113"/>
      <c r="AC925" s="117"/>
      <c r="AD925" s="118"/>
    </row>
    <row r="926" ht="15.75" customHeight="1">
      <c r="M926" s="113"/>
      <c r="N926" s="113"/>
      <c r="O926" s="113"/>
      <c r="P926" s="113"/>
      <c r="AC926" s="117"/>
      <c r="AD926" s="118"/>
    </row>
    <row r="927" ht="15.75" customHeight="1">
      <c r="M927" s="113"/>
      <c r="N927" s="113"/>
      <c r="O927" s="113"/>
      <c r="P927" s="113"/>
      <c r="AC927" s="117"/>
      <c r="AD927" s="118"/>
    </row>
    <row r="928" ht="15.75" customHeight="1">
      <c r="M928" s="113"/>
      <c r="N928" s="113"/>
      <c r="O928" s="113"/>
      <c r="P928" s="113"/>
      <c r="AC928" s="117"/>
      <c r="AD928" s="118"/>
    </row>
    <row r="929" ht="15.75" customHeight="1">
      <c r="M929" s="113"/>
      <c r="N929" s="113"/>
      <c r="O929" s="113"/>
      <c r="P929" s="113"/>
      <c r="AC929" s="117"/>
      <c r="AD929" s="118"/>
    </row>
    <row r="930" ht="15.75" customHeight="1">
      <c r="M930" s="113"/>
      <c r="N930" s="113"/>
      <c r="O930" s="113"/>
      <c r="P930" s="113"/>
      <c r="AC930" s="117"/>
      <c r="AD930" s="118"/>
    </row>
    <row r="931" ht="15.75" customHeight="1">
      <c r="M931" s="113"/>
      <c r="N931" s="113"/>
      <c r="O931" s="113"/>
      <c r="P931" s="113"/>
      <c r="AC931" s="117"/>
      <c r="AD931" s="118"/>
    </row>
    <row r="932" ht="15.75" customHeight="1">
      <c r="M932" s="113"/>
      <c r="N932" s="113"/>
      <c r="O932" s="113"/>
      <c r="P932" s="113"/>
      <c r="AC932" s="117"/>
      <c r="AD932" s="118"/>
    </row>
    <row r="933" ht="15.75" customHeight="1">
      <c r="M933" s="113"/>
      <c r="N933" s="113"/>
      <c r="O933" s="113"/>
      <c r="P933" s="113"/>
      <c r="AC933" s="117"/>
      <c r="AD933" s="118"/>
    </row>
    <row r="934" ht="15.75" customHeight="1">
      <c r="M934" s="113"/>
      <c r="N934" s="113"/>
      <c r="O934" s="113"/>
      <c r="P934" s="113"/>
      <c r="AC934" s="117"/>
      <c r="AD934" s="118"/>
    </row>
    <row r="935" ht="15.75" customHeight="1">
      <c r="M935" s="113"/>
      <c r="N935" s="113"/>
      <c r="O935" s="113"/>
      <c r="P935" s="113"/>
      <c r="AC935" s="117"/>
      <c r="AD935" s="118"/>
    </row>
    <row r="936" ht="15.75" customHeight="1">
      <c r="M936" s="113"/>
      <c r="N936" s="113"/>
      <c r="O936" s="113"/>
      <c r="P936" s="113"/>
      <c r="AC936" s="117"/>
      <c r="AD936" s="118"/>
    </row>
    <row r="937" ht="15.75" customHeight="1">
      <c r="M937" s="113"/>
      <c r="N937" s="113"/>
      <c r="O937" s="113"/>
      <c r="P937" s="113"/>
      <c r="AC937" s="117"/>
      <c r="AD937" s="118"/>
    </row>
    <row r="938" ht="15.75" customHeight="1">
      <c r="M938" s="113"/>
      <c r="N938" s="113"/>
      <c r="O938" s="113"/>
      <c r="P938" s="113"/>
      <c r="AC938" s="117"/>
      <c r="AD938" s="118"/>
    </row>
    <row r="939" ht="15.75" customHeight="1">
      <c r="M939" s="113"/>
      <c r="N939" s="113"/>
      <c r="O939" s="113"/>
      <c r="P939" s="113"/>
      <c r="AC939" s="117"/>
      <c r="AD939" s="118"/>
    </row>
    <row r="940" ht="15.75" customHeight="1">
      <c r="M940" s="113"/>
      <c r="N940" s="113"/>
      <c r="O940" s="113"/>
      <c r="P940" s="113"/>
      <c r="AC940" s="117"/>
      <c r="AD940" s="118"/>
    </row>
    <row r="941" ht="15.75" customHeight="1">
      <c r="M941" s="113"/>
      <c r="N941" s="113"/>
      <c r="O941" s="113"/>
      <c r="P941" s="113"/>
      <c r="AC941" s="117"/>
      <c r="AD941" s="118"/>
    </row>
    <row r="942" ht="15.75" customHeight="1">
      <c r="M942" s="113"/>
      <c r="N942" s="113"/>
      <c r="O942" s="113"/>
      <c r="P942" s="113"/>
      <c r="AC942" s="117"/>
      <c r="AD942" s="118"/>
    </row>
    <row r="943" ht="15.75" customHeight="1">
      <c r="M943" s="113"/>
      <c r="N943" s="113"/>
      <c r="O943" s="113"/>
      <c r="P943" s="113"/>
      <c r="AC943" s="117"/>
      <c r="AD943" s="118"/>
    </row>
    <row r="944" ht="15.75" customHeight="1">
      <c r="M944" s="113"/>
      <c r="N944" s="113"/>
      <c r="O944" s="113"/>
      <c r="P944" s="113"/>
      <c r="AC944" s="117"/>
      <c r="AD944" s="118"/>
    </row>
    <row r="945" ht="15.75" customHeight="1">
      <c r="M945" s="113"/>
      <c r="N945" s="113"/>
      <c r="O945" s="113"/>
      <c r="P945" s="113"/>
      <c r="AC945" s="117"/>
      <c r="AD945" s="118"/>
    </row>
    <row r="946" ht="15.75" customHeight="1">
      <c r="M946" s="113"/>
      <c r="N946" s="113"/>
      <c r="O946" s="113"/>
      <c r="P946" s="113"/>
      <c r="AC946" s="117"/>
      <c r="AD946" s="118"/>
    </row>
    <row r="947" ht="15.75" customHeight="1">
      <c r="M947" s="113"/>
      <c r="N947" s="113"/>
      <c r="O947" s="113"/>
      <c r="P947" s="113"/>
      <c r="AC947" s="117"/>
      <c r="AD947" s="118"/>
    </row>
    <row r="948" ht="15.75" customHeight="1">
      <c r="M948" s="113"/>
      <c r="N948" s="113"/>
      <c r="O948" s="113"/>
      <c r="P948" s="113"/>
      <c r="AC948" s="117"/>
      <c r="AD948" s="118"/>
    </row>
    <row r="949" ht="15.75" customHeight="1">
      <c r="M949" s="113"/>
      <c r="N949" s="113"/>
      <c r="O949" s="113"/>
      <c r="P949" s="113"/>
      <c r="AC949" s="117"/>
      <c r="AD949" s="118"/>
    </row>
    <row r="950" ht="15.75" customHeight="1">
      <c r="M950" s="113"/>
      <c r="N950" s="113"/>
      <c r="O950" s="113"/>
      <c r="P950" s="113"/>
      <c r="AC950" s="117"/>
      <c r="AD950" s="118"/>
    </row>
    <row r="951" ht="15.75" customHeight="1">
      <c r="M951" s="113"/>
      <c r="N951" s="113"/>
      <c r="O951" s="113"/>
      <c r="P951" s="113"/>
      <c r="AC951" s="117"/>
      <c r="AD951" s="118"/>
    </row>
    <row r="952" ht="15.75" customHeight="1">
      <c r="M952" s="113"/>
      <c r="N952" s="113"/>
      <c r="O952" s="113"/>
      <c r="P952" s="113"/>
      <c r="AC952" s="117"/>
      <c r="AD952" s="118"/>
    </row>
    <row r="953" ht="15.75" customHeight="1">
      <c r="M953" s="113"/>
      <c r="N953" s="113"/>
      <c r="O953" s="113"/>
      <c r="P953" s="113"/>
      <c r="AC953" s="117"/>
      <c r="AD953" s="118"/>
    </row>
    <row r="954" ht="15.75" customHeight="1">
      <c r="M954" s="113"/>
      <c r="N954" s="113"/>
      <c r="O954" s="113"/>
      <c r="P954" s="113"/>
      <c r="AC954" s="117"/>
      <c r="AD954" s="118"/>
    </row>
    <row r="955" ht="15.75" customHeight="1">
      <c r="M955" s="113"/>
      <c r="N955" s="113"/>
      <c r="O955" s="113"/>
      <c r="P955" s="113"/>
      <c r="AC955" s="117"/>
      <c r="AD955" s="118"/>
    </row>
    <row r="956" ht="15.75" customHeight="1">
      <c r="M956" s="113"/>
      <c r="N956" s="113"/>
      <c r="O956" s="113"/>
      <c r="P956" s="113"/>
      <c r="AC956" s="117"/>
      <c r="AD956" s="118"/>
    </row>
    <row r="957" ht="15.75" customHeight="1">
      <c r="M957" s="113"/>
      <c r="N957" s="113"/>
      <c r="O957" s="113"/>
      <c r="P957" s="113"/>
      <c r="AC957" s="117"/>
      <c r="AD957" s="118"/>
    </row>
    <row r="958" ht="15.75" customHeight="1">
      <c r="M958" s="113"/>
      <c r="N958" s="113"/>
      <c r="O958" s="113"/>
      <c r="P958" s="113"/>
      <c r="AC958" s="117"/>
      <c r="AD958" s="118"/>
    </row>
    <row r="959" ht="15.75" customHeight="1">
      <c r="M959" s="113"/>
      <c r="N959" s="113"/>
      <c r="O959" s="113"/>
      <c r="P959" s="113"/>
      <c r="AC959" s="117"/>
      <c r="AD959" s="118"/>
    </row>
    <row r="960" ht="15.75" customHeight="1">
      <c r="M960" s="113"/>
      <c r="N960" s="113"/>
      <c r="O960" s="113"/>
      <c r="P960" s="113"/>
      <c r="AC960" s="117"/>
      <c r="AD960" s="118"/>
    </row>
    <row r="961" ht="15.75" customHeight="1">
      <c r="M961" s="113"/>
      <c r="N961" s="113"/>
      <c r="O961" s="113"/>
      <c r="P961" s="113"/>
      <c r="AC961" s="117"/>
      <c r="AD961" s="118"/>
    </row>
    <row r="962" ht="15.75" customHeight="1">
      <c r="M962" s="113"/>
      <c r="N962" s="113"/>
      <c r="O962" s="113"/>
      <c r="P962" s="113"/>
      <c r="AC962" s="117"/>
      <c r="AD962" s="118"/>
    </row>
    <row r="963" ht="15.75" customHeight="1">
      <c r="M963" s="113"/>
      <c r="N963" s="113"/>
      <c r="O963" s="113"/>
      <c r="P963" s="113"/>
      <c r="AC963" s="117"/>
      <c r="AD963" s="118"/>
    </row>
    <row r="964" ht="15.75" customHeight="1">
      <c r="M964" s="113"/>
      <c r="N964" s="113"/>
      <c r="O964" s="113"/>
      <c r="P964" s="113"/>
      <c r="AC964" s="117"/>
      <c r="AD964" s="118"/>
    </row>
    <row r="965" ht="15.75" customHeight="1">
      <c r="M965" s="113"/>
      <c r="N965" s="113"/>
      <c r="O965" s="113"/>
      <c r="P965" s="113"/>
      <c r="AC965" s="117"/>
      <c r="AD965" s="118"/>
    </row>
    <row r="966" ht="15.75" customHeight="1">
      <c r="M966" s="113"/>
      <c r="N966" s="113"/>
      <c r="O966" s="113"/>
      <c r="P966" s="113"/>
      <c r="AC966" s="117"/>
      <c r="AD966" s="118"/>
    </row>
    <row r="967" ht="15.75" customHeight="1">
      <c r="M967" s="113"/>
      <c r="N967" s="113"/>
      <c r="O967" s="113"/>
      <c r="P967" s="113"/>
      <c r="AC967" s="117"/>
      <c r="AD967" s="118"/>
    </row>
    <row r="968" ht="15.75" customHeight="1">
      <c r="M968" s="113"/>
      <c r="N968" s="113"/>
      <c r="O968" s="113"/>
      <c r="P968" s="113"/>
      <c r="AC968" s="117"/>
      <c r="AD968" s="118"/>
    </row>
    <row r="969" ht="15.75" customHeight="1">
      <c r="M969" s="113"/>
      <c r="N969" s="113"/>
      <c r="O969" s="113"/>
      <c r="P969" s="113"/>
      <c r="AC969" s="117"/>
      <c r="AD969" s="118"/>
    </row>
    <row r="970" ht="15.75" customHeight="1">
      <c r="M970" s="113"/>
      <c r="N970" s="113"/>
      <c r="O970" s="113"/>
      <c r="P970" s="113"/>
      <c r="AC970" s="117"/>
      <c r="AD970" s="118"/>
    </row>
    <row r="971" ht="15.75" customHeight="1">
      <c r="M971" s="113"/>
      <c r="N971" s="113"/>
      <c r="O971" s="113"/>
      <c r="P971" s="113"/>
      <c r="AC971" s="117"/>
      <c r="AD971" s="118"/>
    </row>
    <row r="972" ht="15.75" customHeight="1">
      <c r="M972" s="113"/>
      <c r="N972" s="113"/>
      <c r="O972" s="113"/>
      <c r="P972" s="113"/>
      <c r="AC972" s="117"/>
      <c r="AD972" s="118"/>
    </row>
    <row r="973" ht="15.75" customHeight="1">
      <c r="M973" s="113"/>
      <c r="N973" s="113"/>
      <c r="O973" s="113"/>
      <c r="P973" s="113"/>
      <c r="AC973" s="117"/>
      <c r="AD973" s="118"/>
    </row>
    <row r="974" ht="15.75" customHeight="1">
      <c r="M974" s="113"/>
      <c r="N974" s="113"/>
      <c r="O974" s="113"/>
      <c r="P974" s="113"/>
      <c r="AC974" s="117"/>
      <c r="AD974" s="118"/>
    </row>
    <row r="975" ht="15.75" customHeight="1">
      <c r="M975" s="113"/>
      <c r="N975" s="113"/>
      <c r="O975" s="113"/>
      <c r="P975" s="113"/>
      <c r="AC975" s="117"/>
      <c r="AD975" s="118"/>
    </row>
    <row r="976" ht="15.75" customHeight="1">
      <c r="M976" s="113"/>
      <c r="N976" s="113"/>
      <c r="O976" s="113"/>
      <c r="P976" s="113"/>
      <c r="AC976" s="117"/>
      <c r="AD976" s="118"/>
    </row>
    <row r="977" ht="15.75" customHeight="1">
      <c r="M977" s="113"/>
      <c r="N977" s="113"/>
      <c r="O977" s="113"/>
      <c r="P977" s="113"/>
      <c r="AC977" s="117"/>
      <c r="AD977" s="118"/>
    </row>
    <row r="978" ht="15.75" customHeight="1">
      <c r="M978" s="113"/>
      <c r="N978" s="113"/>
      <c r="O978" s="113"/>
      <c r="P978" s="113"/>
      <c r="AC978" s="117"/>
      <c r="AD978" s="118"/>
    </row>
    <row r="979" ht="15.75" customHeight="1">
      <c r="M979" s="113"/>
      <c r="N979" s="113"/>
      <c r="O979" s="113"/>
      <c r="P979" s="113"/>
      <c r="AC979" s="117"/>
      <c r="AD979" s="118"/>
    </row>
    <row r="980" ht="15.75" customHeight="1">
      <c r="M980" s="113"/>
      <c r="N980" s="113"/>
      <c r="O980" s="113"/>
      <c r="P980" s="113"/>
      <c r="AC980" s="117"/>
      <c r="AD980" s="118"/>
    </row>
    <row r="981" ht="15.75" customHeight="1">
      <c r="M981" s="113"/>
      <c r="N981" s="113"/>
      <c r="O981" s="113"/>
      <c r="P981" s="113"/>
      <c r="AC981" s="117"/>
      <c r="AD981" s="118"/>
    </row>
    <row r="982" ht="15.75" customHeight="1">
      <c r="M982" s="113"/>
      <c r="N982" s="113"/>
      <c r="O982" s="113"/>
      <c r="P982" s="113"/>
      <c r="AC982" s="117"/>
      <c r="AD982" s="118"/>
    </row>
    <row r="983" ht="15.75" customHeight="1">
      <c r="M983" s="113"/>
      <c r="N983" s="113"/>
      <c r="O983" s="113"/>
      <c r="P983" s="113"/>
      <c r="AC983" s="117"/>
      <c r="AD983" s="118"/>
    </row>
    <row r="984" ht="15.75" customHeight="1">
      <c r="M984" s="113"/>
      <c r="N984" s="113"/>
      <c r="O984" s="113"/>
      <c r="P984" s="113"/>
      <c r="AC984" s="117"/>
      <c r="AD984" s="118"/>
    </row>
    <row r="985" ht="15.75" customHeight="1">
      <c r="M985" s="113"/>
      <c r="N985" s="113"/>
      <c r="O985" s="113"/>
      <c r="P985" s="113"/>
      <c r="AC985" s="117"/>
      <c r="AD985" s="118"/>
    </row>
    <row r="986" ht="15.75" customHeight="1">
      <c r="M986" s="113"/>
      <c r="N986" s="113"/>
      <c r="O986" s="113"/>
      <c r="P986" s="113"/>
      <c r="AC986" s="117"/>
      <c r="AD986" s="118"/>
    </row>
    <row r="987" ht="15.75" customHeight="1">
      <c r="M987" s="113"/>
      <c r="N987" s="113"/>
      <c r="O987" s="113"/>
      <c r="P987" s="113"/>
      <c r="AC987" s="117"/>
      <c r="AD987" s="118"/>
    </row>
    <row r="988" ht="15.75" customHeight="1">
      <c r="M988" s="113"/>
      <c r="N988" s="113"/>
      <c r="O988" s="113"/>
      <c r="P988" s="113"/>
      <c r="AC988" s="117"/>
      <c r="AD988" s="118"/>
    </row>
    <row r="989" ht="15.75" customHeight="1">
      <c r="M989" s="113"/>
      <c r="N989" s="113"/>
      <c r="O989" s="113"/>
      <c r="P989" s="113"/>
      <c r="AC989" s="117"/>
      <c r="AD989" s="118"/>
    </row>
    <row r="990" ht="15.75" customHeight="1">
      <c r="M990" s="113"/>
      <c r="N990" s="113"/>
      <c r="O990" s="113"/>
      <c r="P990" s="113"/>
      <c r="AC990" s="117"/>
      <c r="AD990" s="118"/>
    </row>
    <row r="991" ht="15.75" customHeight="1">
      <c r="M991" s="113"/>
      <c r="N991" s="113"/>
      <c r="O991" s="113"/>
      <c r="P991" s="113"/>
      <c r="AC991" s="117"/>
      <c r="AD991" s="118"/>
    </row>
    <row r="992" ht="15.75" customHeight="1">
      <c r="M992" s="113"/>
      <c r="N992" s="113"/>
      <c r="O992" s="113"/>
      <c r="P992" s="113"/>
      <c r="AC992" s="117"/>
      <c r="AD992" s="118"/>
    </row>
    <row r="993" ht="15.75" customHeight="1">
      <c r="M993" s="113"/>
      <c r="N993" s="113"/>
      <c r="O993" s="113"/>
      <c r="P993" s="113"/>
      <c r="AC993" s="117"/>
      <c r="AD993" s="118"/>
    </row>
    <row r="994" ht="15.75" customHeight="1">
      <c r="M994" s="113"/>
      <c r="N994" s="113"/>
      <c r="O994" s="113"/>
      <c r="P994" s="113"/>
      <c r="AC994" s="117"/>
      <c r="AD994" s="118"/>
    </row>
    <row r="995" ht="15.75" customHeight="1">
      <c r="M995" s="113"/>
      <c r="N995" s="113"/>
      <c r="O995" s="113"/>
      <c r="P995" s="113"/>
      <c r="AC995" s="117"/>
      <c r="AD995" s="118"/>
    </row>
    <row r="996" ht="15.75" customHeight="1">
      <c r="M996" s="113"/>
      <c r="N996" s="113"/>
      <c r="O996" s="113"/>
      <c r="P996" s="113"/>
      <c r="AC996" s="117"/>
      <c r="AD996" s="118"/>
    </row>
    <row r="997" ht="15.75" customHeight="1">
      <c r="M997" s="113"/>
      <c r="N997" s="113"/>
      <c r="O997" s="113"/>
      <c r="P997" s="113"/>
      <c r="AC997" s="117"/>
      <c r="AD997" s="118"/>
    </row>
    <row r="998" ht="15.75" customHeight="1">
      <c r="M998" s="113"/>
      <c r="N998" s="113"/>
      <c r="O998" s="113"/>
      <c r="P998" s="113"/>
      <c r="AC998" s="117"/>
      <c r="AD998" s="123"/>
    </row>
  </sheetData>
  <mergeCells count="2">
    <mergeCell ref="F2:L2"/>
    <mergeCell ref="X2:AE2"/>
  </mergeCells>
  <conditionalFormatting sqref="F9:F10 G9:I12 J9:L10 M9:P9">
    <cfRule type="expression" dxfId="6" priority="1">
      <formula>"VLOOKUP(טבלת_שדות[קבוצת שדות],Table1[#ALL],2)"</formula>
    </cfRule>
  </conditionalFormatting>
  <dataValidations>
    <dataValidation type="list" allowBlank="1" showErrorMessage="1" sqref="I1 AA1">
      <formula1>'אינדקס'!$B$13:$B$225</formula1>
    </dataValidation>
    <dataValidation type="list" allowBlank="1" sqref="O10:P998">
      <formula1>'רשימות'!$G$2:$G$12</formula1>
    </dataValidation>
    <dataValidation type="list" allowBlank="1" sqref="X10:X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AE10:AF100 Y10:Y100 AA10:AA100 G10:G100 I10:I100">
      <formula1>#REF!</formula1>
    </dataValidation>
  </dataValidations>
  <hyperlinks>
    <hyperlink display="מעבר לדף הבית" location="'אינדקס'!A1" ref="G1"/>
    <hyperlink display="אנשי קשר " location="'אנשי קשר'!A1" ref="J1"/>
    <hyperlink display="מעבר לתהליכי עבודה" location="'תבנית'!R9:X100" ref="L1"/>
    <hyperlink display="מעבר לטבלת השדות" location="'תבנית'!F9:L100" ref="W1"/>
    <hyperlink display="מעבר לדף הבית" location="'אינדקס'!A1" ref="Y1"/>
    <hyperlink display="יישות לקישור" location="'לקוחות'!A1" ref="K10"/>
  </hyperlinks>
  <printOptions/>
  <pageMargins bottom="1.0" footer="0.0" header="0.0" left="0.75" right="0.75" top="1.0"/>
  <pageSetup orientation="landscape"/>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6" width="23.0"/>
    <col customWidth="1" min="17" max="21" width="25.14"/>
    <col customWidth="1" min="22" max="22" width="5.0"/>
    <col customWidth="1" min="23" max="23" width="22.0"/>
    <col customWidth="1" min="24" max="24" width="18.43"/>
    <col customWidth="1" min="25" max="25" width="20.0"/>
    <col customWidth="1" min="26" max="26" width="24.0"/>
    <col customWidth="1" min="27" max="27" width="21.14"/>
    <col customWidth="1" min="28" max="28" width="18.0"/>
    <col customWidth="1" min="29" max="30" width="16.0"/>
    <col customWidth="1" min="31" max="31" width="20.0"/>
    <col customWidth="1" min="32" max="32" width="22.0"/>
    <col customWidth="1" min="33" max="33" width="44.57"/>
    <col customWidth="1" min="34" max="34" width="51.43"/>
    <col customWidth="1" min="35" max="35" width="22.0"/>
    <col customWidth="1" min="36" max="39" width="8.71"/>
  </cols>
  <sheetData>
    <row r="1" ht="39.75" customHeight="1">
      <c r="E1" s="2"/>
      <c r="F1" s="3"/>
      <c r="G1" s="6" t="s">
        <v>0</v>
      </c>
      <c r="H1" s="8" t="s">
        <v>1</v>
      </c>
      <c r="I1" s="11" t="s">
        <v>4</v>
      </c>
      <c r="J1" s="12" t="str">
        <f>VLOOKUP(I1,'אינדקס'!B13:C91,2)</f>
        <v>פתח גיליון</v>
      </c>
      <c r="K1" s="13"/>
      <c r="L1" s="16" t="s">
        <v>7</v>
      </c>
      <c r="M1" s="17"/>
      <c r="N1" s="17"/>
      <c r="O1" s="17"/>
      <c r="P1" s="17"/>
      <c r="Q1" s="18"/>
      <c r="R1" s="18"/>
      <c r="S1" s="18"/>
      <c r="T1" s="18"/>
      <c r="U1" s="18"/>
      <c r="V1" s="18"/>
      <c r="W1" s="16" t="s">
        <v>8</v>
      </c>
      <c r="X1" s="3"/>
      <c r="Y1" s="6" t="s">
        <v>0</v>
      </c>
      <c r="Z1" s="8" t="s">
        <v>1</v>
      </c>
      <c r="AA1" s="11" t="s">
        <v>9</v>
      </c>
      <c r="AB1" s="20" t="str">
        <f>VLOOKUP(AA1,'אינדקס'!B13:C91,2)</f>
        <v>פתח גיליון</v>
      </c>
      <c r="AC1" s="21"/>
      <c r="AD1" s="23"/>
      <c r="AE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17"/>
      <c r="P2" s="17"/>
      <c r="Q2" s="30"/>
      <c r="R2" s="18"/>
      <c r="S2" s="18"/>
      <c r="T2" s="18"/>
      <c r="U2" s="18"/>
      <c r="V2" s="18"/>
      <c r="W2" s="31"/>
      <c r="X2" s="27" t="str">
        <f>CONCATENATE("🎯 מטרות-העל: ", 'אינדקס'!$B$5)</f>
        <v>🎯 מטרות-העל: https://docs.google.com/open?id=16lBROr6DmzGS3AaRedcxxBk5nYQMegngfhrp90Jz1JQ</v>
      </c>
      <c r="Y2" s="28"/>
      <c r="Z2" s="28"/>
      <c r="AA2" s="28"/>
      <c r="AB2" s="28"/>
      <c r="AC2" s="28"/>
      <c r="AD2" s="28"/>
      <c r="AE2" s="29"/>
    </row>
    <row r="3">
      <c r="E3" s="33"/>
      <c r="F3" s="35"/>
      <c r="G3" s="35"/>
      <c r="H3" s="35"/>
      <c r="I3" s="35"/>
      <c r="J3" s="35"/>
      <c r="K3" s="35"/>
      <c r="L3" s="37"/>
      <c r="W3" s="33"/>
      <c r="X3" s="35"/>
      <c r="Y3" s="35"/>
      <c r="Z3" s="35"/>
      <c r="AA3" s="35"/>
      <c r="AB3" s="39"/>
      <c r="AC3" s="40"/>
      <c r="AD3" s="40"/>
      <c r="AE3" s="42"/>
    </row>
    <row r="4">
      <c r="E4" s="43"/>
      <c r="F4" s="47" t="str">
        <f t="shared" ref="F4:F7" si="1">IF(G4="","",ROW()-6)</f>
        <v/>
      </c>
      <c r="G4" s="47"/>
      <c r="H4" s="47"/>
      <c r="I4" s="47"/>
      <c r="J4" s="47"/>
      <c r="K4" s="47"/>
      <c r="L4" s="49"/>
      <c r="V4" s="52" t="str">
        <f t="shared" ref="V4:V7" si="2">IF(W4="","",ROW()-6)</f>
        <v/>
      </c>
      <c r="W4" s="43"/>
      <c r="X4" s="47" t="str">
        <f t="shared" ref="X4:X7" si="3">IF(Y4="","",ROW()-6)</f>
        <v/>
      </c>
      <c r="Y4" s="47"/>
      <c r="Z4" s="47"/>
      <c r="AA4" s="47"/>
      <c r="AB4" s="55"/>
      <c r="AC4" s="56"/>
      <c r="AD4" s="56"/>
      <c r="AE4" s="57"/>
    </row>
    <row r="5">
      <c r="E5" s="43"/>
      <c r="F5" s="47" t="str">
        <f t="shared" si="1"/>
        <v/>
      </c>
      <c r="G5" s="47"/>
      <c r="H5" s="47"/>
      <c r="I5" s="47"/>
      <c r="J5" s="47"/>
      <c r="K5" s="47"/>
      <c r="L5" s="49"/>
      <c r="V5" s="52" t="str">
        <f t="shared" si="2"/>
        <v/>
      </c>
      <c r="W5" s="43"/>
      <c r="X5" s="47" t="str">
        <f t="shared" si="3"/>
        <v/>
      </c>
      <c r="Y5" s="47"/>
      <c r="Z5" s="47"/>
      <c r="AA5" s="47"/>
      <c r="AB5" s="55"/>
      <c r="AC5" s="56"/>
      <c r="AD5" s="56"/>
      <c r="AE5" s="57"/>
    </row>
    <row r="6">
      <c r="E6" s="43"/>
      <c r="F6" s="47" t="str">
        <f t="shared" si="1"/>
        <v/>
      </c>
      <c r="G6" s="47"/>
      <c r="H6" s="47"/>
      <c r="I6" s="47"/>
      <c r="J6" s="47"/>
      <c r="K6" s="47"/>
      <c r="L6" s="49"/>
      <c r="V6" s="52" t="str">
        <f t="shared" si="2"/>
        <v/>
      </c>
      <c r="W6" s="43"/>
      <c r="X6" s="47" t="str">
        <f t="shared" si="3"/>
        <v/>
      </c>
      <c r="Y6" s="47"/>
      <c r="Z6" s="47"/>
      <c r="AA6" s="47"/>
      <c r="AB6" s="55"/>
      <c r="AC6" s="56"/>
      <c r="AD6" s="56"/>
      <c r="AE6" s="57"/>
    </row>
    <row r="7">
      <c r="E7" s="60"/>
      <c r="F7" s="62" t="str">
        <f t="shared" si="1"/>
        <v/>
      </c>
      <c r="G7" s="62"/>
      <c r="H7" s="62"/>
      <c r="I7" s="62"/>
      <c r="J7" s="62"/>
      <c r="K7" s="62"/>
      <c r="L7" s="63"/>
      <c r="V7" s="52" t="str">
        <f t="shared" si="2"/>
        <v/>
      </c>
      <c r="W7" s="60"/>
      <c r="X7" s="62" t="str">
        <f t="shared" si="3"/>
        <v/>
      </c>
      <c r="Y7" s="62"/>
      <c r="Z7" s="62"/>
      <c r="AA7" s="62"/>
      <c r="AB7" s="65"/>
      <c r="AC7" s="66"/>
      <c r="AD7" s="66"/>
      <c r="AE7" s="68"/>
    </row>
    <row r="8">
      <c r="E8" s="69"/>
      <c r="F8" s="70"/>
      <c r="G8" s="71"/>
      <c r="H8" s="71"/>
      <c r="I8" s="71"/>
      <c r="J8" s="71"/>
      <c r="K8" s="71"/>
      <c r="L8" s="71"/>
      <c r="V8" s="72"/>
      <c r="W8" s="73"/>
      <c r="X8" s="73"/>
      <c r="Y8" s="73"/>
      <c r="Z8" s="73"/>
      <c r="AA8" s="73"/>
      <c r="AB8" s="74"/>
      <c r="AC8" s="75"/>
      <c r="AD8" s="75"/>
      <c r="AE8" s="76"/>
    </row>
    <row r="9" ht="26.25" customHeight="1">
      <c r="B9" s="77"/>
      <c r="C9" s="77"/>
      <c r="D9" s="77"/>
      <c r="E9" s="78"/>
      <c r="F9" s="79" t="s">
        <v>17</v>
      </c>
      <c r="G9" s="81" t="s">
        <v>21</v>
      </c>
      <c r="H9" s="82" t="s">
        <v>22</v>
      </c>
      <c r="I9" s="81" t="s">
        <v>23</v>
      </c>
      <c r="J9" s="81" t="s">
        <v>24</v>
      </c>
      <c r="K9" s="81" t="s">
        <v>25</v>
      </c>
      <c r="L9" s="81" t="s">
        <v>26</v>
      </c>
      <c r="M9" s="84" t="s">
        <v>28</v>
      </c>
      <c r="N9" s="84" t="s">
        <v>29</v>
      </c>
      <c r="O9" s="84" t="s">
        <v>31</v>
      </c>
      <c r="P9" s="84" t="s">
        <v>32</v>
      </c>
      <c r="Q9" s="77"/>
      <c r="R9" s="77"/>
      <c r="S9" s="77"/>
      <c r="T9" s="77"/>
      <c r="U9" s="77"/>
      <c r="V9" s="79" t="s">
        <v>17</v>
      </c>
      <c r="W9" s="81" t="s">
        <v>33</v>
      </c>
      <c r="X9" s="81" t="s">
        <v>34</v>
      </c>
      <c r="Y9" s="81" t="s">
        <v>35</v>
      </c>
      <c r="Z9" s="81" t="s">
        <v>36</v>
      </c>
      <c r="AA9" s="81" t="s">
        <v>38</v>
      </c>
      <c r="AB9" s="81" t="s">
        <v>26</v>
      </c>
      <c r="AC9" s="85"/>
      <c r="AD9" s="85"/>
      <c r="AE9" s="86" t="s">
        <v>39</v>
      </c>
      <c r="AF9" s="86" t="s">
        <v>40</v>
      </c>
      <c r="AG9" s="86" t="s">
        <v>41</v>
      </c>
      <c r="AH9" s="86" t="s">
        <v>42</v>
      </c>
    </row>
    <row r="10" ht="26.25" customHeight="1">
      <c r="B10" s="86" t="s">
        <v>44</v>
      </c>
      <c r="C10" s="86" t="s">
        <v>45</v>
      </c>
      <c r="D10" s="77"/>
      <c r="E10" s="88"/>
      <c r="F10" s="89">
        <f t="shared" ref="F10:F69" si="4">IF(G10="","",ROW()-9)</f>
        <v>1</v>
      </c>
      <c r="G10" s="90" t="s">
        <v>57</v>
      </c>
      <c r="H10" s="91" t="s">
        <v>58</v>
      </c>
      <c r="I10" s="90" t="s">
        <v>60</v>
      </c>
      <c r="J10" s="93" t="b">
        <v>1</v>
      </c>
      <c r="K10" s="89"/>
      <c r="L10" s="89"/>
      <c r="M10" s="96"/>
      <c r="N10" s="96"/>
      <c r="O10" s="96"/>
      <c r="P10" s="96"/>
      <c r="Q10" s="95"/>
      <c r="R10" s="95"/>
      <c r="S10" s="95"/>
      <c r="T10" s="95"/>
      <c r="U10" s="95"/>
      <c r="V10" s="89" t="str">
        <f t="shared" ref="V10:V198" si="5">IF(W10="","",ROW()-6)</f>
        <v/>
      </c>
      <c r="W10" s="89"/>
      <c r="X10" s="92"/>
      <c r="Y10" s="92"/>
      <c r="Z10" s="89"/>
      <c r="AA10" s="92"/>
      <c r="AB10" s="89"/>
      <c r="AC10" s="97"/>
      <c r="AD10" s="97"/>
      <c r="AE10" s="98"/>
      <c r="AF10" s="92"/>
      <c r="AG10" s="99"/>
      <c r="AH10" s="99"/>
    </row>
    <row r="11" ht="26.25" customHeight="1">
      <c r="B11" s="91" t="s">
        <v>57</v>
      </c>
      <c r="C11" s="93" t="b">
        <v>0</v>
      </c>
      <c r="D11" s="77"/>
      <c r="E11" s="101"/>
      <c r="F11" s="89">
        <f t="shared" si="4"/>
        <v>2</v>
      </c>
      <c r="G11" s="90" t="s">
        <v>57</v>
      </c>
      <c r="H11" s="102" t="s">
        <v>67</v>
      </c>
      <c r="I11" s="90" t="s">
        <v>68</v>
      </c>
      <c r="J11" s="93" t="b">
        <v>0</v>
      </c>
      <c r="K11" s="89"/>
      <c r="L11" s="89"/>
      <c r="M11" s="96"/>
      <c r="N11" s="96"/>
      <c r="O11" s="96"/>
      <c r="P11" s="96"/>
      <c r="Q11" s="95"/>
      <c r="R11" s="95"/>
      <c r="S11" s="95"/>
      <c r="T11" s="95"/>
      <c r="U11" s="95"/>
      <c r="V11" s="89" t="str">
        <f t="shared" si="5"/>
        <v/>
      </c>
      <c r="W11" s="89"/>
      <c r="X11" s="92"/>
      <c r="Y11" s="92"/>
      <c r="Z11" s="89"/>
      <c r="AA11" s="92"/>
      <c r="AB11" s="89"/>
      <c r="AC11" s="104"/>
      <c r="AD11" s="104"/>
      <c r="AE11" s="92"/>
      <c r="AF11" s="92"/>
      <c r="AG11" s="99"/>
      <c r="AH11" s="99"/>
    </row>
    <row r="12" ht="26.25" customHeight="1">
      <c r="B12" s="99"/>
      <c r="C12" s="93" t="b">
        <v>0</v>
      </c>
      <c r="D12" s="77"/>
      <c r="E12" s="101"/>
      <c r="F12" s="89" t="str">
        <f t="shared" si="4"/>
        <v/>
      </c>
      <c r="G12" s="92"/>
      <c r="H12" s="103"/>
      <c r="I12" s="92"/>
      <c r="J12" s="93" t="b">
        <v>0</v>
      </c>
      <c r="K12" s="89"/>
      <c r="L12" s="89"/>
      <c r="M12" s="96"/>
      <c r="N12" s="96"/>
      <c r="O12" s="96"/>
      <c r="P12" s="96"/>
      <c r="Q12" s="95"/>
      <c r="R12" s="95"/>
      <c r="S12" s="95"/>
      <c r="T12" s="95"/>
      <c r="U12" s="95"/>
      <c r="V12" s="89" t="str">
        <f t="shared" si="5"/>
        <v/>
      </c>
      <c r="W12" s="89"/>
      <c r="X12" s="92"/>
      <c r="Y12" s="92"/>
      <c r="Z12" s="89"/>
      <c r="AA12" s="92"/>
      <c r="AB12" s="89"/>
      <c r="AC12" s="104"/>
      <c r="AD12" s="104"/>
      <c r="AE12" s="92"/>
      <c r="AF12" s="92"/>
      <c r="AG12" s="99"/>
      <c r="AH12" s="99"/>
    </row>
    <row r="13" ht="26.25" customHeight="1">
      <c r="B13" s="99"/>
      <c r="C13" s="93" t="b">
        <v>0</v>
      </c>
      <c r="D13" s="77"/>
      <c r="E13" s="101"/>
      <c r="F13" s="89" t="str">
        <f t="shared" si="4"/>
        <v/>
      </c>
      <c r="G13" s="92"/>
      <c r="H13" s="103"/>
      <c r="I13" s="92"/>
      <c r="J13" s="93" t="b">
        <v>0</v>
      </c>
      <c r="K13" s="89"/>
      <c r="L13" s="89"/>
      <c r="M13" s="96"/>
      <c r="N13" s="96"/>
      <c r="O13" s="96"/>
      <c r="P13" s="96"/>
      <c r="Q13" s="95"/>
      <c r="R13" s="95"/>
      <c r="S13" s="95"/>
      <c r="T13" s="95"/>
      <c r="U13" s="95"/>
      <c r="V13" s="89" t="str">
        <f t="shared" si="5"/>
        <v/>
      </c>
      <c r="W13" s="89"/>
      <c r="X13" s="92"/>
      <c r="Y13" s="92"/>
      <c r="Z13" s="89"/>
      <c r="AA13" s="92"/>
      <c r="AB13" s="89"/>
      <c r="AC13" s="104"/>
      <c r="AD13" s="104"/>
      <c r="AE13" s="92"/>
      <c r="AF13" s="92"/>
      <c r="AG13" s="99"/>
      <c r="AH13" s="99"/>
    </row>
    <row r="14" ht="26.25" customHeight="1">
      <c r="B14" s="99"/>
      <c r="C14" s="93" t="b">
        <v>0</v>
      </c>
      <c r="D14" s="77"/>
      <c r="E14" s="101"/>
      <c r="F14" s="89" t="str">
        <f t="shared" si="4"/>
        <v/>
      </c>
      <c r="G14" s="92"/>
      <c r="H14" s="103"/>
      <c r="I14" s="92"/>
      <c r="J14" s="93" t="b">
        <v>0</v>
      </c>
      <c r="K14" s="89"/>
      <c r="L14" s="89"/>
      <c r="M14" s="96"/>
      <c r="N14" s="96"/>
      <c r="O14" s="96"/>
      <c r="P14" s="96"/>
      <c r="Q14" s="95"/>
      <c r="R14" s="95"/>
      <c r="S14" s="95"/>
      <c r="T14" s="95"/>
      <c r="U14" s="95"/>
      <c r="V14" s="89" t="str">
        <f t="shared" si="5"/>
        <v/>
      </c>
      <c r="W14" s="89"/>
      <c r="X14" s="92"/>
      <c r="Y14" s="92"/>
      <c r="Z14" s="89"/>
      <c r="AA14" s="92"/>
      <c r="AB14" s="89"/>
      <c r="AC14" s="104"/>
      <c r="AD14" s="104"/>
      <c r="AE14" s="92"/>
      <c r="AF14" s="92"/>
      <c r="AG14" s="99"/>
      <c r="AH14" s="99"/>
    </row>
    <row r="15" ht="26.25" customHeight="1">
      <c r="B15" s="99"/>
      <c r="C15" s="93" t="b">
        <v>0</v>
      </c>
      <c r="D15" s="77"/>
      <c r="E15" s="101"/>
      <c r="F15" s="89" t="str">
        <f t="shared" si="4"/>
        <v/>
      </c>
      <c r="G15" s="92"/>
      <c r="H15" s="103"/>
      <c r="I15" s="92"/>
      <c r="J15" s="93" t="b">
        <v>0</v>
      </c>
      <c r="K15" s="89"/>
      <c r="L15" s="89"/>
      <c r="M15" s="96"/>
      <c r="N15" s="96"/>
      <c r="O15" s="96"/>
      <c r="P15" s="96"/>
      <c r="Q15" s="95"/>
      <c r="R15" s="95"/>
      <c r="S15" s="95"/>
      <c r="T15" s="95"/>
      <c r="U15" s="95"/>
      <c r="V15" s="89" t="str">
        <f t="shared" si="5"/>
        <v/>
      </c>
      <c r="W15" s="89"/>
      <c r="X15" s="92"/>
      <c r="Y15" s="92"/>
      <c r="Z15" s="89"/>
      <c r="AA15" s="92"/>
      <c r="AB15" s="89"/>
      <c r="AC15" s="104"/>
      <c r="AD15" s="104"/>
      <c r="AE15" s="92"/>
      <c r="AF15" s="92"/>
      <c r="AG15" s="99"/>
      <c r="AH15" s="99"/>
    </row>
    <row r="16" ht="26.25" customHeight="1">
      <c r="B16" s="99"/>
      <c r="C16" s="93" t="b">
        <v>0</v>
      </c>
      <c r="D16" s="77"/>
      <c r="E16" s="101"/>
      <c r="F16" s="89" t="str">
        <f t="shared" si="4"/>
        <v/>
      </c>
      <c r="G16" s="92"/>
      <c r="H16" s="103"/>
      <c r="I16" s="92"/>
      <c r="J16" s="93" t="b">
        <v>0</v>
      </c>
      <c r="K16" s="89"/>
      <c r="L16" s="89"/>
      <c r="M16" s="96"/>
      <c r="N16" s="96"/>
      <c r="O16" s="96"/>
      <c r="P16" s="96"/>
      <c r="Q16" s="95"/>
      <c r="R16" s="95"/>
      <c r="S16" s="95"/>
      <c r="T16" s="95"/>
      <c r="U16" s="95"/>
      <c r="V16" s="89" t="str">
        <f t="shared" si="5"/>
        <v/>
      </c>
      <c r="W16" s="89"/>
      <c r="X16" s="92"/>
      <c r="Y16" s="92"/>
      <c r="Z16" s="89"/>
      <c r="AA16" s="92"/>
      <c r="AB16" s="89"/>
      <c r="AC16" s="104"/>
      <c r="AD16" s="104"/>
      <c r="AE16" s="92"/>
      <c r="AF16" s="92"/>
      <c r="AG16" s="99"/>
      <c r="AH16" s="99"/>
    </row>
    <row r="17" ht="26.25" customHeight="1">
      <c r="B17" s="99"/>
      <c r="C17" s="93" t="b">
        <v>0</v>
      </c>
      <c r="D17" s="77"/>
      <c r="E17" s="101"/>
      <c r="F17" s="89" t="str">
        <f t="shared" si="4"/>
        <v/>
      </c>
      <c r="G17" s="92"/>
      <c r="H17" s="103"/>
      <c r="I17" s="92"/>
      <c r="J17" s="93" t="b">
        <v>0</v>
      </c>
      <c r="K17" s="89"/>
      <c r="L17" s="89"/>
      <c r="M17" s="96"/>
      <c r="N17" s="96"/>
      <c r="O17" s="96"/>
      <c r="P17" s="96"/>
      <c r="Q17" s="95"/>
      <c r="R17" s="95"/>
      <c r="S17" s="95"/>
      <c r="T17" s="95"/>
      <c r="U17" s="95"/>
      <c r="V17" s="89" t="str">
        <f t="shared" si="5"/>
        <v/>
      </c>
      <c r="W17" s="89"/>
      <c r="X17" s="92"/>
      <c r="Y17" s="92"/>
      <c r="Z17" s="89"/>
      <c r="AA17" s="92"/>
      <c r="AB17" s="89"/>
      <c r="AC17" s="104"/>
      <c r="AD17" s="104"/>
      <c r="AE17" s="92"/>
      <c r="AF17" s="92"/>
      <c r="AG17" s="99"/>
      <c r="AH17" s="99"/>
    </row>
    <row r="18" ht="26.25" customHeight="1">
      <c r="B18" s="99"/>
      <c r="C18" s="93" t="b">
        <v>0</v>
      </c>
      <c r="D18" s="77"/>
      <c r="E18" s="101"/>
      <c r="F18" s="89" t="str">
        <f t="shared" si="4"/>
        <v/>
      </c>
      <c r="G18" s="92"/>
      <c r="H18" s="103"/>
      <c r="I18" s="92"/>
      <c r="J18" s="93" t="b">
        <v>0</v>
      </c>
      <c r="K18" s="89"/>
      <c r="L18" s="89"/>
      <c r="M18" s="96"/>
      <c r="N18" s="96"/>
      <c r="O18" s="96"/>
      <c r="P18" s="96"/>
      <c r="Q18" s="95"/>
      <c r="R18" s="95"/>
      <c r="S18" s="95"/>
      <c r="T18" s="95"/>
      <c r="U18" s="95"/>
      <c r="V18" s="89" t="str">
        <f t="shared" si="5"/>
        <v/>
      </c>
      <c r="W18" s="89"/>
      <c r="X18" s="92"/>
      <c r="Y18" s="92"/>
      <c r="Z18" s="89"/>
      <c r="AA18" s="92"/>
      <c r="AB18" s="89"/>
      <c r="AC18" s="104"/>
      <c r="AD18" s="104"/>
      <c r="AE18" s="92"/>
      <c r="AF18" s="92"/>
      <c r="AG18" s="99"/>
      <c r="AH18" s="99"/>
    </row>
    <row r="19" ht="26.25" customHeight="1">
      <c r="B19" s="99"/>
      <c r="C19" s="93" t="b">
        <v>0</v>
      </c>
      <c r="D19" s="77"/>
      <c r="E19" s="101"/>
      <c r="F19" s="89" t="str">
        <f t="shared" si="4"/>
        <v/>
      </c>
      <c r="G19" s="92"/>
      <c r="H19" s="103"/>
      <c r="I19" s="92"/>
      <c r="J19" s="93" t="b">
        <v>0</v>
      </c>
      <c r="K19" s="89"/>
      <c r="L19" s="89"/>
      <c r="M19" s="96"/>
      <c r="N19" s="96"/>
      <c r="O19" s="96"/>
      <c r="P19" s="96"/>
      <c r="Q19" s="95"/>
      <c r="R19" s="95"/>
      <c r="S19" s="95"/>
      <c r="T19" s="95"/>
      <c r="U19" s="95"/>
      <c r="V19" s="89" t="str">
        <f t="shared" si="5"/>
        <v/>
      </c>
      <c r="W19" s="89"/>
      <c r="X19" s="92"/>
      <c r="Y19" s="92"/>
      <c r="Z19" s="89"/>
      <c r="AA19" s="92"/>
      <c r="AB19" s="89"/>
      <c r="AC19" s="104"/>
      <c r="AD19" s="104"/>
      <c r="AE19" s="92"/>
      <c r="AF19" s="92"/>
      <c r="AG19" s="99"/>
      <c r="AH19" s="99"/>
    </row>
    <row r="20" ht="26.25" customHeight="1">
      <c r="B20" s="99"/>
      <c r="C20" s="93" t="b">
        <v>0</v>
      </c>
      <c r="D20" s="77"/>
      <c r="E20" s="101"/>
      <c r="F20" s="89" t="str">
        <f t="shared" si="4"/>
        <v/>
      </c>
      <c r="G20" s="92"/>
      <c r="H20" s="106"/>
      <c r="I20" s="92"/>
      <c r="J20" s="93" t="b">
        <v>0</v>
      </c>
      <c r="K20" s="89"/>
      <c r="L20" s="89"/>
      <c r="M20" s="96"/>
      <c r="N20" s="96"/>
      <c r="O20" s="96"/>
      <c r="P20" s="96"/>
      <c r="Q20" s="95"/>
      <c r="R20" s="95"/>
      <c r="S20" s="95"/>
      <c r="T20" s="95"/>
      <c r="U20" s="95"/>
      <c r="V20" s="89" t="str">
        <f t="shared" si="5"/>
        <v/>
      </c>
      <c r="W20" s="89"/>
      <c r="X20" s="92"/>
      <c r="Y20" s="92"/>
      <c r="Z20" s="89"/>
      <c r="AA20" s="92"/>
      <c r="AB20" s="89"/>
      <c r="AC20" s="104"/>
      <c r="AD20" s="104"/>
      <c r="AE20" s="92"/>
      <c r="AF20" s="92"/>
      <c r="AG20" s="99"/>
      <c r="AH20" s="99"/>
    </row>
    <row r="21" ht="26.25" customHeight="1">
      <c r="B21" s="99"/>
      <c r="C21" s="93" t="b">
        <v>0</v>
      </c>
      <c r="D21" s="77"/>
      <c r="E21" s="101"/>
      <c r="F21" s="89" t="str">
        <f t="shared" si="4"/>
        <v/>
      </c>
      <c r="G21" s="92"/>
      <c r="H21" s="103"/>
      <c r="I21" s="92"/>
      <c r="J21" s="93" t="b">
        <v>0</v>
      </c>
      <c r="K21" s="89"/>
      <c r="L21" s="89"/>
      <c r="M21" s="96"/>
      <c r="N21" s="96"/>
      <c r="O21" s="96"/>
      <c r="P21" s="96"/>
      <c r="Q21" s="95"/>
      <c r="R21" s="95"/>
      <c r="S21" s="95"/>
      <c r="T21" s="95"/>
      <c r="U21" s="95"/>
      <c r="V21" s="89" t="str">
        <f t="shared" si="5"/>
        <v/>
      </c>
      <c r="W21" s="89"/>
      <c r="X21" s="92"/>
      <c r="Y21" s="92"/>
      <c r="Z21" s="89"/>
      <c r="AA21" s="92"/>
      <c r="AB21" s="89"/>
      <c r="AC21" s="104"/>
      <c r="AD21" s="104"/>
      <c r="AE21" s="92"/>
      <c r="AF21" s="92"/>
      <c r="AG21" s="99"/>
      <c r="AH21" s="99"/>
    </row>
    <row r="22" ht="26.25" customHeight="1">
      <c r="B22" s="99"/>
      <c r="C22" s="93" t="b">
        <v>0</v>
      </c>
      <c r="D22" s="77"/>
      <c r="E22" s="101"/>
      <c r="F22" s="89" t="str">
        <f t="shared" si="4"/>
        <v/>
      </c>
      <c r="G22" s="92"/>
      <c r="H22" s="103"/>
      <c r="I22" s="92"/>
      <c r="J22" s="93" t="b">
        <v>0</v>
      </c>
      <c r="K22" s="89"/>
      <c r="L22" s="89"/>
      <c r="M22" s="96"/>
      <c r="N22" s="96"/>
      <c r="O22" s="96"/>
      <c r="P22" s="96"/>
      <c r="Q22" s="95"/>
      <c r="R22" s="95"/>
      <c r="S22" s="95"/>
      <c r="T22" s="95"/>
      <c r="U22" s="95"/>
      <c r="V22" s="89" t="str">
        <f t="shared" si="5"/>
        <v/>
      </c>
      <c r="W22" s="89"/>
      <c r="X22" s="92"/>
      <c r="Y22" s="92"/>
      <c r="Z22" s="89"/>
      <c r="AA22" s="92"/>
      <c r="AB22" s="89"/>
      <c r="AC22" s="104"/>
      <c r="AD22" s="104"/>
      <c r="AE22" s="92"/>
      <c r="AF22" s="92"/>
      <c r="AG22" s="99"/>
      <c r="AH22" s="99"/>
    </row>
    <row r="23" ht="26.25" customHeight="1">
      <c r="B23" s="99"/>
      <c r="C23" s="93" t="b">
        <v>0</v>
      </c>
      <c r="D23" s="77"/>
      <c r="E23" s="101"/>
      <c r="F23" s="89" t="str">
        <f t="shared" si="4"/>
        <v/>
      </c>
      <c r="G23" s="92"/>
      <c r="H23" s="103"/>
      <c r="I23" s="92"/>
      <c r="J23" s="93" t="b">
        <v>0</v>
      </c>
      <c r="K23" s="89"/>
      <c r="L23" s="89"/>
      <c r="M23" s="96"/>
      <c r="N23" s="96"/>
      <c r="O23" s="96"/>
      <c r="P23" s="96"/>
      <c r="Q23" s="95"/>
      <c r="R23" s="95"/>
      <c r="S23" s="95"/>
      <c r="T23" s="95"/>
      <c r="U23" s="95"/>
      <c r="V23" s="89" t="str">
        <f t="shared" si="5"/>
        <v/>
      </c>
      <c r="W23" s="89"/>
      <c r="X23" s="92"/>
      <c r="Y23" s="92"/>
      <c r="Z23" s="89"/>
      <c r="AA23" s="92"/>
      <c r="AB23" s="89"/>
      <c r="AC23" s="104"/>
      <c r="AD23" s="104"/>
      <c r="AE23" s="92"/>
      <c r="AF23" s="92"/>
      <c r="AG23" s="99"/>
      <c r="AH23" s="99"/>
    </row>
    <row r="24" ht="26.25" customHeight="1">
      <c r="B24" s="99"/>
      <c r="C24" s="93" t="b">
        <v>0</v>
      </c>
      <c r="D24" s="77"/>
      <c r="E24" s="101"/>
      <c r="F24" s="89" t="str">
        <f t="shared" si="4"/>
        <v/>
      </c>
      <c r="G24" s="92"/>
      <c r="H24" s="103"/>
      <c r="I24" s="92"/>
      <c r="J24" s="93" t="b">
        <v>0</v>
      </c>
      <c r="K24" s="89"/>
      <c r="L24" s="89"/>
      <c r="M24" s="96"/>
      <c r="N24" s="96"/>
      <c r="O24" s="96"/>
      <c r="P24" s="96"/>
      <c r="Q24" s="95"/>
      <c r="R24" s="95"/>
      <c r="S24" s="95"/>
      <c r="T24" s="95"/>
      <c r="U24" s="95"/>
      <c r="V24" s="89" t="str">
        <f t="shared" si="5"/>
        <v/>
      </c>
      <c r="W24" s="89"/>
      <c r="X24" s="92"/>
      <c r="Y24" s="92"/>
      <c r="Z24" s="89"/>
      <c r="AA24" s="92"/>
      <c r="AB24" s="89"/>
      <c r="AC24" s="104"/>
      <c r="AD24" s="104"/>
      <c r="AE24" s="92"/>
      <c r="AF24" s="92"/>
      <c r="AG24" s="99"/>
      <c r="AH24" s="99"/>
    </row>
    <row r="25" ht="26.25" customHeight="1">
      <c r="B25" s="99"/>
      <c r="C25" s="93" t="b">
        <v>0</v>
      </c>
      <c r="D25" s="77"/>
      <c r="E25" s="101"/>
      <c r="F25" s="89" t="str">
        <f t="shared" si="4"/>
        <v/>
      </c>
      <c r="G25" s="92"/>
      <c r="H25" s="103"/>
      <c r="I25" s="92"/>
      <c r="J25" s="93" t="b">
        <v>0</v>
      </c>
      <c r="K25" s="89"/>
      <c r="L25" s="89"/>
      <c r="M25" s="96"/>
      <c r="N25" s="96"/>
      <c r="O25" s="96"/>
      <c r="P25" s="96"/>
      <c r="Q25" s="95"/>
      <c r="R25" s="95"/>
      <c r="S25" s="95"/>
      <c r="T25" s="95"/>
      <c r="U25" s="95"/>
      <c r="V25" s="89" t="str">
        <f t="shared" si="5"/>
        <v/>
      </c>
      <c r="W25" s="89"/>
      <c r="X25" s="92"/>
      <c r="Y25" s="92"/>
      <c r="Z25" s="89"/>
      <c r="AA25" s="92"/>
      <c r="AB25" s="89"/>
      <c r="AC25" s="104"/>
      <c r="AD25" s="104"/>
      <c r="AE25" s="92"/>
      <c r="AF25" s="92"/>
      <c r="AG25" s="99"/>
      <c r="AH25" s="99"/>
    </row>
    <row r="26" ht="26.25" customHeight="1">
      <c r="B26" s="99"/>
      <c r="C26" s="93" t="b">
        <v>0</v>
      </c>
      <c r="D26" s="77"/>
      <c r="E26" s="101"/>
      <c r="F26" s="89" t="str">
        <f t="shared" si="4"/>
        <v/>
      </c>
      <c r="G26" s="92"/>
      <c r="H26" s="103"/>
      <c r="I26" s="92"/>
      <c r="J26" s="93" t="b">
        <v>0</v>
      </c>
      <c r="K26" s="89"/>
      <c r="L26" s="89"/>
      <c r="M26" s="96"/>
      <c r="N26" s="96"/>
      <c r="O26" s="96"/>
      <c r="P26" s="96"/>
      <c r="Q26" s="95"/>
      <c r="R26" s="95"/>
      <c r="S26" s="95"/>
      <c r="T26" s="95"/>
      <c r="U26" s="95"/>
      <c r="V26" s="89" t="str">
        <f t="shared" si="5"/>
        <v/>
      </c>
      <c r="W26" s="89"/>
      <c r="X26" s="92"/>
      <c r="Y26" s="92"/>
      <c r="Z26" s="89"/>
      <c r="AA26" s="92"/>
      <c r="AB26" s="89"/>
      <c r="AC26" s="104"/>
      <c r="AD26" s="104"/>
      <c r="AE26" s="92"/>
      <c r="AF26" s="92"/>
      <c r="AG26" s="99"/>
      <c r="AH26" s="99"/>
    </row>
    <row r="27" ht="26.25" customHeight="1">
      <c r="B27" s="99"/>
      <c r="C27" s="93" t="b">
        <v>0</v>
      </c>
      <c r="D27" s="77"/>
      <c r="E27" s="101"/>
      <c r="F27" s="89" t="str">
        <f t="shared" si="4"/>
        <v/>
      </c>
      <c r="G27" s="92"/>
      <c r="H27" s="103"/>
      <c r="I27" s="92"/>
      <c r="J27" s="93" t="b">
        <v>0</v>
      </c>
      <c r="K27" s="89"/>
      <c r="L27" s="89"/>
      <c r="M27" s="96"/>
      <c r="N27" s="96"/>
      <c r="O27" s="96"/>
      <c r="P27" s="96"/>
      <c r="Q27" s="95"/>
      <c r="R27" s="95"/>
      <c r="S27" s="95"/>
      <c r="T27" s="95"/>
      <c r="U27" s="95"/>
      <c r="V27" s="89" t="str">
        <f t="shared" si="5"/>
        <v/>
      </c>
      <c r="W27" s="89"/>
      <c r="X27" s="92"/>
      <c r="Y27" s="92"/>
      <c r="Z27" s="89"/>
      <c r="AA27" s="92"/>
      <c r="AB27" s="89"/>
      <c r="AC27" s="104"/>
      <c r="AD27" s="104"/>
      <c r="AE27" s="92"/>
      <c r="AF27" s="92"/>
      <c r="AG27" s="99"/>
      <c r="AH27" s="99"/>
    </row>
    <row r="28" ht="26.25" customHeight="1">
      <c r="B28" s="99"/>
      <c r="C28" s="93" t="b">
        <v>0</v>
      </c>
      <c r="D28" s="77"/>
      <c r="E28" s="101"/>
      <c r="F28" s="89" t="str">
        <f t="shared" si="4"/>
        <v/>
      </c>
      <c r="G28" s="92"/>
      <c r="H28" s="103"/>
      <c r="I28" s="92"/>
      <c r="J28" s="93" t="b">
        <v>0</v>
      </c>
      <c r="K28" s="89"/>
      <c r="L28" s="89"/>
      <c r="M28" s="96"/>
      <c r="N28" s="96"/>
      <c r="O28" s="96"/>
      <c r="P28" s="96"/>
      <c r="Q28" s="95"/>
      <c r="R28" s="95"/>
      <c r="S28" s="95"/>
      <c r="T28" s="95"/>
      <c r="U28" s="95"/>
      <c r="V28" s="89" t="str">
        <f t="shared" si="5"/>
        <v/>
      </c>
      <c r="W28" s="89"/>
      <c r="X28" s="92"/>
      <c r="Y28" s="92"/>
      <c r="Z28" s="89"/>
      <c r="AA28" s="92"/>
      <c r="AB28" s="89"/>
      <c r="AC28" s="104"/>
      <c r="AD28" s="104"/>
      <c r="AE28" s="92"/>
      <c r="AF28" s="92"/>
      <c r="AG28" s="99"/>
      <c r="AH28" s="99"/>
    </row>
    <row r="29" ht="26.25" customHeight="1">
      <c r="B29" s="99"/>
      <c r="C29" s="93" t="b">
        <v>0</v>
      </c>
      <c r="D29" s="77"/>
      <c r="E29" s="101"/>
      <c r="F29" s="89" t="str">
        <f t="shared" si="4"/>
        <v/>
      </c>
      <c r="G29" s="92"/>
      <c r="H29" s="103"/>
      <c r="I29" s="92"/>
      <c r="J29" s="93" t="b">
        <v>0</v>
      </c>
      <c r="K29" s="89"/>
      <c r="L29" s="89"/>
      <c r="M29" s="96"/>
      <c r="N29" s="96"/>
      <c r="O29" s="96"/>
      <c r="P29" s="96"/>
      <c r="Q29" s="95"/>
      <c r="R29" s="95"/>
      <c r="S29" s="95"/>
      <c r="T29" s="95"/>
      <c r="U29" s="95"/>
      <c r="V29" s="89" t="str">
        <f t="shared" si="5"/>
        <v/>
      </c>
      <c r="W29" s="89"/>
      <c r="X29" s="92"/>
      <c r="Y29" s="92"/>
      <c r="Z29" s="89"/>
      <c r="AA29" s="92"/>
      <c r="AB29" s="89"/>
      <c r="AC29" s="104"/>
      <c r="AD29" s="104"/>
      <c r="AE29" s="92"/>
      <c r="AF29" s="92"/>
      <c r="AG29" s="99"/>
      <c r="AH29" s="99"/>
    </row>
    <row r="30" ht="26.25" customHeight="1">
      <c r="B30" s="99"/>
      <c r="C30" s="93" t="b">
        <v>0</v>
      </c>
      <c r="D30" s="77"/>
      <c r="E30" s="101"/>
      <c r="F30" s="89" t="str">
        <f t="shared" si="4"/>
        <v/>
      </c>
      <c r="G30" s="92"/>
      <c r="H30" s="103"/>
      <c r="I30" s="92"/>
      <c r="J30" s="93" t="b">
        <v>0</v>
      </c>
      <c r="K30" s="89"/>
      <c r="L30" s="89"/>
      <c r="M30" s="96"/>
      <c r="N30" s="96"/>
      <c r="O30" s="96"/>
      <c r="P30" s="96"/>
      <c r="Q30" s="95"/>
      <c r="R30" s="95"/>
      <c r="S30" s="95"/>
      <c r="T30" s="95"/>
      <c r="U30" s="95"/>
      <c r="V30" s="89" t="str">
        <f t="shared" si="5"/>
        <v/>
      </c>
      <c r="W30" s="89"/>
      <c r="X30" s="92"/>
      <c r="Y30" s="92"/>
      <c r="Z30" s="89"/>
      <c r="AA30" s="92"/>
      <c r="AB30" s="89"/>
      <c r="AC30" s="104"/>
      <c r="AD30" s="104"/>
      <c r="AE30" s="92"/>
      <c r="AF30" s="92"/>
      <c r="AG30" s="99"/>
      <c r="AH30" s="99"/>
    </row>
    <row r="31" ht="26.25" customHeight="1">
      <c r="B31" s="95"/>
      <c r="C31" s="95"/>
      <c r="D31" s="77"/>
      <c r="E31" s="101"/>
      <c r="F31" s="89" t="str">
        <f t="shared" si="4"/>
        <v/>
      </c>
      <c r="G31" s="92"/>
      <c r="H31" s="103"/>
      <c r="I31" s="92"/>
      <c r="J31" s="93" t="b">
        <v>0</v>
      </c>
      <c r="K31" s="89"/>
      <c r="L31" s="89"/>
      <c r="M31" s="96"/>
      <c r="N31" s="96"/>
      <c r="O31" s="96"/>
      <c r="P31" s="96"/>
      <c r="Q31" s="95"/>
      <c r="R31" s="95"/>
      <c r="S31" s="95"/>
      <c r="T31" s="95"/>
      <c r="U31" s="95"/>
      <c r="V31" s="89" t="str">
        <f t="shared" si="5"/>
        <v/>
      </c>
      <c r="W31" s="89"/>
      <c r="X31" s="92"/>
      <c r="Y31" s="92"/>
      <c r="Z31" s="89"/>
      <c r="AA31" s="92"/>
      <c r="AB31" s="89"/>
      <c r="AC31" s="104"/>
      <c r="AD31" s="104"/>
      <c r="AE31" s="92"/>
      <c r="AF31" s="92"/>
      <c r="AG31" s="99"/>
      <c r="AH31" s="99"/>
    </row>
    <row r="32" ht="26.25" customHeight="1">
      <c r="B32" s="95"/>
      <c r="C32" s="95"/>
      <c r="D32" s="77"/>
      <c r="E32" s="101"/>
      <c r="F32" s="89" t="str">
        <f t="shared" si="4"/>
        <v/>
      </c>
      <c r="G32" s="92"/>
      <c r="H32" s="103"/>
      <c r="I32" s="92"/>
      <c r="J32" s="93" t="b">
        <v>0</v>
      </c>
      <c r="K32" s="89"/>
      <c r="L32" s="89"/>
      <c r="M32" s="96"/>
      <c r="N32" s="96"/>
      <c r="O32" s="96"/>
      <c r="P32" s="96"/>
      <c r="Q32" s="95"/>
      <c r="R32" s="95"/>
      <c r="S32" s="95"/>
      <c r="T32" s="95"/>
      <c r="U32" s="95"/>
      <c r="V32" s="89" t="str">
        <f t="shared" si="5"/>
        <v/>
      </c>
      <c r="W32" s="89"/>
      <c r="X32" s="92"/>
      <c r="Y32" s="92"/>
      <c r="Z32" s="89"/>
      <c r="AA32" s="92"/>
      <c r="AB32" s="89"/>
      <c r="AC32" s="104"/>
      <c r="AD32" s="104"/>
      <c r="AE32" s="92"/>
      <c r="AF32" s="92"/>
      <c r="AG32" s="99"/>
      <c r="AH32" s="99"/>
    </row>
    <row r="33" ht="26.25" customHeight="1">
      <c r="B33" s="95"/>
      <c r="C33" s="95"/>
      <c r="D33" s="77"/>
      <c r="E33" s="101"/>
      <c r="F33" s="89" t="str">
        <f t="shared" si="4"/>
        <v/>
      </c>
      <c r="G33" s="92"/>
      <c r="H33" s="103"/>
      <c r="I33" s="92"/>
      <c r="J33" s="93" t="b">
        <v>0</v>
      </c>
      <c r="K33" s="89"/>
      <c r="L33" s="89"/>
      <c r="M33" s="96"/>
      <c r="N33" s="96"/>
      <c r="O33" s="96"/>
      <c r="P33" s="96"/>
      <c r="Q33" s="95"/>
      <c r="R33" s="95"/>
      <c r="S33" s="95"/>
      <c r="T33" s="95"/>
      <c r="U33" s="95"/>
      <c r="V33" s="89" t="str">
        <f t="shared" si="5"/>
        <v/>
      </c>
      <c r="W33" s="89"/>
      <c r="X33" s="92"/>
      <c r="Y33" s="92"/>
      <c r="Z33" s="89"/>
      <c r="AA33" s="92"/>
      <c r="AB33" s="89"/>
      <c r="AC33" s="104"/>
      <c r="AD33" s="104"/>
      <c r="AE33" s="92"/>
      <c r="AF33" s="92"/>
      <c r="AG33" s="99"/>
      <c r="AH33" s="99"/>
    </row>
    <row r="34" ht="26.25" customHeight="1">
      <c r="B34" s="95"/>
      <c r="C34" s="95"/>
      <c r="D34" s="77"/>
      <c r="E34" s="101"/>
      <c r="F34" s="89" t="str">
        <f t="shared" si="4"/>
        <v/>
      </c>
      <c r="G34" s="92"/>
      <c r="H34" s="103"/>
      <c r="I34" s="92"/>
      <c r="J34" s="93" t="b">
        <v>0</v>
      </c>
      <c r="K34" s="89"/>
      <c r="L34" s="89"/>
      <c r="M34" s="96"/>
      <c r="N34" s="96"/>
      <c r="O34" s="96"/>
      <c r="P34" s="96"/>
      <c r="Q34" s="95"/>
      <c r="R34" s="95"/>
      <c r="S34" s="95"/>
      <c r="T34" s="95"/>
      <c r="U34" s="95"/>
      <c r="V34" s="89" t="str">
        <f t="shared" si="5"/>
        <v/>
      </c>
      <c r="W34" s="89"/>
      <c r="X34" s="92"/>
      <c r="Y34" s="92"/>
      <c r="Z34" s="89"/>
      <c r="AA34" s="92"/>
      <c r="AB34" s="89"/>
      <c r="AC34" s="104"/>
      <c r="AD34" s="104"/>
      <c r="AE34" s="92"/>
      <c r="AF34" s="92"/>
      <c r="AG34" s="99"/>
      <c r="AH34" s="99"/>
    </row>
    <row r="35" ht="26.25" customHeight="1">
      <c r="B35" s="95"/>
      <c r="C35" s="95"/>
      <c r="D35" s="77"/>
      <c r="E35" s="101"/>
      <c r="F35" s="89" t="str">
        <f t="shared" si="4"/>
        <v/>
      </c>
      <c r="G35" s="92"/>
      <c r="H35" s="103"/>
      <c r="I35" s="92"/>
      <c r="J35" s="93" t="b">
        <v>0</v>
      </c>
      <c r="K35" s="89"/>
      <c r="L35" s="89"/>
      <c r="M35" s="96"/>
      <c r="N35" s="96"/>
      <c r="O35" s="96"/>
      <c r="P35" s="96"/>
      <c r="Q35" s="95"/>
      <c r="R35" s="95"/>
      <c r="S35" s="95"/>
      <c r="T35" s="95"/>
      <c r="U35" s="95"/>
      <c r="V35" s="89" t="str">
        <f t="shared" si="5"/>
        <v/>
      </c>
      <c r="W35" s="89"/>
      <c r="X35" s="92"/>
      <c r="Y35" s="92"/>
      <c r="Z35" s="89"/>
      <c r="AA35" s="92"/>
      <c r="AB35" s="89"/>
      <c r="AC35" s="104"/>
      <c r="AD35" s="104"/>
      <c r="AE35" s="92"/>
      <c r="AF35" s="92"/>
      <c r="AG35" s="99"/>
      <c r="AH35" s="99"/>
    </row>
    <row r="36" ht="26.25" customHeight="1">
      <c r="B36" s="95"/>
      <c r="C36" s="95"/>
      <c r="D36" s="77"/>
      <c r="E36" s="101"/>
      <c r="F36" s="89" t="str">
        <f t="shared" si="4"/>
        <v/>
      </c>
      <c r="G36" s="92"/>
      <c r="H36" s="103"/>
      <c r="I36" s="92"/>
      <c r="J36" s="93" t="b">
        <v>0</v>
      </c>
      <c r="K36" s="89"/>
      <c r="L36" s="89"/>
      <c r="M36" s="96"/>
      <c r="N36" s="96"/>
      <c r="O36" s="96"/>
      <c r="P36" s="96"/>
      <c r="Q36" s="95"/>
      <c r="R36" s="95"/>
      <c r="S36" s="95"/>
      <c r="T36" s="95"/>
      <c r="U36" s="95"/>
      <c r="V36" s="89" t="str">
        <f t="shared" si="5"/>
        <v/>
      </c>
      <c r="W36" s="89"/>
      <c r="X36" s="92"/>
      <c r="Y36" s="92"/>
      <c r="Z36" s="89"/>
      <c r="AA36" s="92"/>
      <c r="AB36" s="89"/>
      <c r="AC36" s="104"/>
      <c r="AD36" s="104"/>
      <c r="AE36" s="92"/>
      <c r="AF36" s="92"/>
      <c r="AG36" s="99"/>
      <c r="AH36" s="99"/>
    </row>
    <row r="37" ht="26.25" customHeight="1">
      <c r="B37" s="95"/>
      <c r="C37" s="95"/>
      <c r="D37" s="77"/>
      <c r="E37" s="101"/>
      <c r="F37" s="89" t="str">
        <f t="shared" si="4"/>
        <v/>
      </c>
      <c r="G37" s="92"/>
      <c r="H37" s="103"/>
      <c r="I37" s="92"/>
      <c r="J37" s="93" t="b">
        <v>0</v>
      </c>
      <c r="K37" s="89"/>
      <c r="L37" s="89"/>
      <c r="M37" s="96"/>
      <c r="N37" s="96"/>
      <c r="O37" s="96"/>
      <c r="P37" s="96"/>
      <c r="Q37" s="95"/>
      <c r="R37" s="95"/>
      <c r="S37" s="95"/>
      <c r="T37" s="95"/>
      <c r="U37" s="95"/>
      <c r="V37" s="89" t="str">
        <f t="shared" si="5"/>
        <v/>
      </c>
      <c r="W37" s="89"/>
      <c r="X37" s="92"/>
      <c r="Y37" s="92"/>
      <c r="Z37" s="89"/>
      <c r="AA37" s="92"/>
      <c r="AB37" s="89"/>
      <c r="AC37" s="104"/>
      <c r="AD37" s="104"/>
      <c r="AE37" s="92"/>
      <c r="AF37" s="92"/>
      <c r="AG37" s="99"/>
      <c r="AH37" s="99"/>
    </row>
    <row r="38" ht="26.25" customHeight="1">
      <c r="B38" s="95"/>
      <c r="C38" s="95"/>
      <c r="D38" s="77"/>
      <c r="E38" s="101"/>
      <c r="F38" s="89" t="str">
        <f t="shared" si="4"/>
        <v/>
      </c>
      <c r="G38" s="92"/>
      <c r="H38" s="103"/>
      <c r="I38" s="92"/>
      <c r="J38" s="93" t="b">
        <v>0</v>
      </c>
      <c r="K38" s="89"/>
      <c r="L38" s="89"/>
      <c r="M38" s="96"/>
      <c r="N38" s="96"/>
      <c r="O38" s="96"/>
      <c r="P38" s="96"/>
      <c r="Q38" s="95"/>
      <c r="R38" s="95"/>
      <c r="S38" s="95"/>
      <c r="T38" s="95"/>
      <c r="U38" s="95"/>
      <c r="V38" s="89" t="str">
        <f t="shared" si="5"/>
        <v/>
      </c>
      <c r="W38" s="89"/>
      <c r="X38" s="92"/>
      <c r="Y38" s="92"/>
      <c r="Z38" s="89"/>
      <c r="AA38" s="92"/>
      <c r="AB38" s="89"/>
      <c r="AC38" s="104"/>
      <c r="AD38" s="104"/>
      <c r="AE38" s="92"/>
      <c r="AF38" s="92"/>
      <c r="AG38" s="99"/>
      <c r="AH38" s="99"/>
    </row>
    <row r="39" ht="26.25" customHeight="1">
      <c r="B39" s="95"/>
      <c r="C39" s="95"/>
      <c r="D39" s="77"/>
      <c r="E39" s="101"/>
      <c r="F39" s="89" t="str">
        <f t="shared" si="4"/>
        <v/>
      </c>
      <c r="G39" s="92"/>
      <c r="H39" s="103"/>
      <c r="I39" s="92"/>
      <c r="J39" s="93" t="b">
        <v>0</v>
      </c>
      <c r="K39" s="89"/>
      <c r="L39" s="89"/>
      <c r="M39" s="96"/>
      <c r="N39" s="96"/>
      <c r="O39" s="96"/>
      <c r="P39" s="96"/>
      <c r="Q39" s="95"/>
      <c r="R39" s="95"/>
      <c r="S39" s="95"/>
      <c r="T39" s="95"/>
      <c r="U39" s="95"/>
      <c r="V39" s="89" t="str">
        <f t="shared" si="5"/>
        <v/>
      </c>
      <c r="W39" s="89"/>
      <c r="X39" s="92"/>
      <c r="Y39" s="92"/>
      <c r="Z39" s="89"/>
      <c r="AA39" s="92"/>
      <c r="AB39" s="89"/>
      <c r="AC39" s="104"/>
      <c r="AD39" s="104"/>
      <c r="AE39" s="92"/>
      <c r="AF39" s="92"/>
      <c r="AG39" s="99"/>
      <c r="AH39" s="99"/>
    </row>
    <row r="40" ht="26.25" customHeight="1">
      <c r="B40" s="95"/>
      <c r="C40" s="95"/>
      <c r="D40" s="77"/>
      <c r="E40" s="101"/>
      <c r="F40" s="89" t="str">
        <f t="shared" si="4"/>
        <v/>
      </c>
      <c r="G40" s="92"/>
      <c r="H40" s="103"/>
      <c r="I40" s="92"/>
      <c r="J40" s="93" t="b">
        <v>0</v>
      </c>
      <c r="K40" s="89"/>
      <c r="L40" s="89"/>
      <c r="M40" s="96"/>
      <c r="N40" s="96"/>
      <c r="O40" s="96"/>
      <c r="P40" s="96"/>
      <c r="Q40" s="95"/>
      <c r="R40" s="95"/>
      <c r="S40" s="95"/>
      <c r="T40" s="95"/>
      <c r="U40" s="95"/>
      <c r="V40" s="89" t="str">
        <f t="shared" si="5"/>
        <v/>
      </c>
      <c r="W40" s="89"/>
      <c r="X40" s="92"/>
      <c r="Y40" s="92"/>
      <c r="Z40" s="89"/>
      <c r="AA40" s="92"/>
      <c r="AB40" s="89"/>
      <c r="AC40" s="104"/>
      <c r="AD40" s="104"/>
      <c r="AE40" s="92"/>
      <c r="AF40" s="92"/>
      <c r="AG40" s="99"/>
      <c r="AH40" s="99"/>
    </row>
    <row r="41" ht="26.25" customHeight="1">
      <c r="B41" s="95"/>
      <c r="C41" s="95"/>
      <c r="D41" s="77"/>
      <c r="E41" s="101"/>
      <c r="F41" s="89" t="str">
        <f t="shared" si="4"/>
        <v/>
      </c>
      <c r="G41" s="92"/>
      <c r="H41" s="103"/>
      <c r="I41" s="92"/>
      <c r="J41" s="93" t="b">
        <v>0</v>
      </c>
      <c r="K41" s="89"/>
      <c r="L41" s="89"/>
      <c r="M41" s="96"/>
      <c r="N41" s="96"/>
      <c r="O41" s="96"/>
      <c r="P41" s="96"/>
      <c r="Q41" s="95"/>
      <c r="R41" s="95"/>
      <c r="S41" s="95"/>
      <c r="T41" s="95"/>
      <c r="U41" s="95"/>
      <c r="V41" s="89" t="str">
        <f t="shared" si="5"/>
        <v/>
      </c>
      <c r="W41" s="89"/>
      <c r="X41" s="92"/>
      <c r="Y41" s="92"/>
      <c r="Z41" s="89"/>
      <c r="AA41" s="92"/>
      <c r="AB41" s="89"/>
      <c r="AC41" s="104"/>
      <c r="AD41" s="104"/>
      <c r="AE41" s="92"/>
      <c r="AF41" s="92"/>
      <c r="AG41" s="99"/>
      <c r="AH41" s="99"/>
    </row>
    <row r="42" ht="26.25" customHeight="1">
      <c r="B42" s="95"/>
      <c r="C42" s="95"/>
      <c r="D42" s="77"/>
      <c r="E42" s="101"/>
      <c r="F42" s="89" t="str">
        <f t="shared" si="4"/>
        <v/>
      </c>
      <c r="G42" s="92"/>
      <c r="H42" s="103"/>
      <c r="I42" s="92"/>
      <c r="J42" s="93" t="b">
        <v>0</v>
      </c>
      <c r="K42" s="89"/>
      <c r="L42" s="89"/>
      <c r="M42" s="96"/>
      <c r="N42" s="96"/>
      <c r="O42" s="96"/>
      <c r="P42" s="96"/>
      <c r="Q42" s="95"/>
      <c r="R42" s="95"/>
      <c r="S42" s="95"/>
      <c r="T42" s="95"/>
      <c r="U42" s="95"/>
      <c r="V42" s="89" t="str">
        <f t="shared" si="5"/>
        <v/>
      </c>
      <c r="W42" s="89"/>
      <c r="X42" s="92"/>
      <c r="Y42" s="92"/>
      <c r="Z42" s="89"/>
      <c r="AA42" s="92"/>
      <c r="AB42" s="89"/>
      <c r="AC42" s="104"/>
      <c r="AD42" s="104"/>
      <c r="AE42" s="92"/>
      <c r="AF42" s="92"/>
      <c r="AG42" s="99"/>
      <c r="AH42" s="99"/>
    </row>
    <row r="43" ht="26.25" customHeight="1">
      <c r="B43" s="95"/>
      <c r="C43" s="95"/>
      <c r="D43" s="77"/>
      <c r="E43" s="101"/>
      <c r="F43" s="89" t="str">
        <f t="shared" si="4"/>
        <v/>
      </c>
      <c r="G43" s="92"/>
      <c r="H43" s="103"/>
      <c r="I43" s="92"/>
      <c r="J43" s="93" t="b">
        <v>0</v>
      </c>
      <c r="K43" s="89"/>
      <c r="L43" s="89"/>
      <c r="M43" s="96"/>
      <c r="N43" s="96"/>
      <c r="O43" s="96"/>
      <c r="P43" s="96"/>
      <c r="Q43" s="95"/>
      <c r="R43" s="95"/>
      <c r="S43" s="95"/>
      <c r="T43" s="95"/>
      <c r="U43" s="95"/>
      <c r="V43" s="89" t="str">
        <f t="shared" si="5"/>
        <v/>
      </c>
      <c r="W43" s="89"/>
      <c r="X43" s="92"/>
      <c r="Y43" s="92"/>
      <c r="Z43" s="89"/>
      <c r="AA43" s="92"/>
      <c r="AB43" s="89"/>
      <c r="AC43" s="104"/>
      <c r="AD43" s="104"/>
      <c r="AE43" s="92"/>
      <c r="AF43" s="92"/>
      <c r="AG43" s="99"/>
      <c r="AH43" s="99"/>
    </row>
    <row r="44" ht="26.25" customHeight="1">
      <c r="B44" s="95"/>
      <c r="C44" s="95"/>
      <c r="D44" s="77"/>
      <c r="E44" s="101"/>
      <c r="F44" s="89" t="str">
        <f t="shared" si="4"/>
        <v/>
      </c>
      <c r="G44" s="92"/>
      <c r="H44" s="103"/>
      <c r="I44" s="92"/>
      <c r="J44" s="93" t="b">
        <v>0</v>
      </c>
      <c r="K44" s="89"/>
      <c r="L44" s="89"/>
      <c r="M44" s="96"/>
      <c r="N44" s="96"/>
      <c r="O44" s="96"/>
      <c r="P44" s="96"/>
      <c r="Q44" s="95"/>
      <c r="R44" s="95"/>
      <c r="S44" s="95"/>
      <c r="T44" s="95"/>
      <c r="U44" s="95"/>
      <c r="V44" s="89" t="str">
        <f t="shared" si="5"/>
        <v/>
      </c>
      <c r="W44" s="89"/>
      <c r="X44" s="92"/>
      <c r="Y44" s="92"/>
      <c r="Z44" s="89"/>
      <c r="AA44" s="92"/>
      <c r="AB44" s="89"/>
      <c r="AC44" s="104"/>
      <c r="AD44" s="104"/>
      <c r="AE44" s="92"/>
      <c r="AF44" s="92"/>
      <c r="AG44" s="99"/>
      <c r="AH44" s="99"/>
    </row>
    <row r="45" ht="26.25" customHeight="1">
      <c r="B45" s="95"/>
      <c r="C45" s="95"/>
      <c r="D45" s="77"/>
      <c r="E45" s="101"/>
      <c r="F45" s="89" t="str">
        <f t="shared" si="4"/>
        <v/>
      </c>
      <c r="G45" s="92"/>
      <c r="H45" s="103"/>
      <c r="I45" s="92"/>
      <c r="J45" s="93" t="b">
        <v>0</v>
      </c>
      <c r="K45" s="89"/>
      <c r="L45" s="89"/>
      <c r="M45" s="96"/>
      <c r="N45" s="96"/>
      <c r="O45" s="96"/>
      <c r="P45" s="96"/>
      <c r="Q45" s="95"/>
      <c r="R45" s="95"/>
      <c r="S45" s="95"/>
      <c r="T45" s="95"/>
      <c r="U45" s="95"/>
      <c r="V45" s="89" t="str">
        <f t="shared" si="5"/>
        <v/>
      </c>
      <c r="W45" s="89"/>
      <c r="X45" s="92"/>
      <c r="Y45" s="92"/>
      <c r="Z45" s="89"/>
      <c r="AA45" s="92"/>
      <c r="AB45" s="89"/>
      <c r="AC45" s="104"/>
      <c r="AD45" s="104"/>
      <c r="AE45" s="92"/>
      <c r="AF45" s="92"/>
      <c r="AG45" s="99"/>
      <c r="AH45" s="99"/>
    </row>
    <row r="46" ht="26.25" customHeight="1">
      <c r="B46" s="95"/>
      <c r="C46" s="95"/>
      <c r="D46" s="77"/>
      <c r="E46" s="101"/>
      <c r="F46" s="89" t="str">
        <f t="shared" si="4"/>
        <v/>
      </c>
      <c r="G46" s="92"/>
      <c r="H46" s="103"/>
      <c r="I46" s="92"/>
      <c r="J46" s="93" t="b">
        <v>0</v>
      </c>
      <c r="K46" s="89"/>
      <c r="L46" s="89"/>
      <c r="M46" s="96"/>
      <c r="N46" s="96"/>
      <c r="O46" s="96"/>
      <c r="P46" s="96"/>
      <c r="Q46" s="95"/>
      <c r="R46" s="95"/>
      <c r="S46" s="95"/>
      <c r="T46" s="95"/>
      <c r="U46" s="95"/>
      <c r="V46" s="89" t="str">
        <f t="shared" si="5"/>
        <v/>
      </c>
      <c r="W46" s="89"/>
      <c r="X46" s="92"/>
      <c r="Y46" s="92"/>
      <c r="Z46" s="89"/>
      <c r="AA46" s="92"/>
      <c r="AB46" s="89"/>
      <c r="AC46" s="104"/>
      <c r="AD46" s="104"/>
      <c r="AE46" s="92"/>
      <c r="AF46" s="92"/>
      <c r="AG46" s="99"/>
      <c r="AH46" s="99"/>
    </row>
    <row r="47" ht="26.25" customHeight="1">
      <c r="B47" s="95"/>
      <c r="C47" s="95"/>
      <c r="D47" s="77"/>
      <c r="E47" s="101"/>
      <c r="F47" s="89" t="str">
        <f t="shared" si="4"/>
        <v/>
      </c>
      <c r="G47" s="92"/>
      <c r="H47" s="103"/>
      <c r="I47" s="92"/>
      <c r="J47" s="93" t="b">
        <v>0</v>
      </c>
      <c r="K47" s="89"/>
      <c r="L47" s="89"/>
      <c r="M47" s="96"/>
      <c r="N47" s="96"/>
      <c r="O47" s="96"/>
      <c r="P47" s="96"/>
      <c r="Q47" s="95"/>
      <c r="R47" s="95"/>
      <c r="S47" s="95"/>
      <c r="T47" s="95"/>
      <c r="U47" s="95"/>
      <c r="V47" s="89" t="str">
        <f t="shared" si="5"/>
        <v/>
      </c>
      <c r="W47" s="89"/>
      <c r="X47" s="92"/>
      <c r="Y47" s="92"/>
      <c r="Z47" s="89"/>
      <c r="AA47" s="92"/>
      <c r="AB47" s="89"/>
      <c r="AC47" s="104"/>
      <c r="AD47" s="104"/>
      <c r="AE47" s="92"/>
      <c r="AF47" s="92"/>
      <c r="AG47" s="99"/>
      <c r="AH47" s="99"/>
    </row>
    <row r="48" ht="26.25" customHeight="1">
      <c r="B48" s="95"/>
      <c r="C48" s="95"/>
      <c r="D48" s="77"/>
      <c r="E48" s="101"/>
      <c r="F48" s="89" t="str">
        <f t="shared" si="4"/>
        <v/>
      </c>
      <c r="G48" s="92"/>
      <c r="H48" s="103"/>
      <c r="I48" s="92"/>
      <c r="J48" s="93" t="b">
        <v>0</v>
      </c>
      <c r="K48" s="89"/>
      <c r="L48" s="89"/>
      <c r="M48" s="96"/>
      <c r="N48" s="96"/>
      <c r="O48" s="96"/>
      <c r="P48" s="96"/>
      <c r="Q48" s="95"/>
      <c r="R48" s="95"/>
      <c r="S48" s="95"/>
      <c r="T48" s="95"/>
      <c r="U48" s="95"/>
      <c r="V48" s="89" t="str">
        <f t="shared" si="5"/>
        <v/>
      </c>
      <c r="W48" s="89"/>
      <c r="X48" s="92"/>
      <c r="Y48" s="92"/>
      <c r="Z48" s="89"/>
      <c r="AA48" s="92"/>
      <c r="AB48" s="89"/>
      <c r="AC48" s="104"/>
      <c r="AD48" s="104"/>
      <c r="AE48" s="92"/>
      <c r="AF48" s="92"/>
      <c r="AG48" s="99"/>
      <c r="AH48" s="99"/>
    </row>
    <row r="49" ht="26.25" customHeight="1">
      <c r="B49" s="95"/>
      <c r="C49" s="95"/>
      <c r="D49" s="77"/>
      <c r="E49" s="101"/>
      <c r="F49" s="89" t="str">
        <f t="shared" si="4"/>
        <v/>
      </c>
      <c r="G49" s="92"/>
      <c r="H49" s="103"/>
      <c r="I49" s="92"/>
      <c r="J49" s="93" t="b">
        <v>0</v>
      </c>
      <c r="K49" s="89"/>
      <c r="L49" s="89"/>
      <c r="M49" s="96"/>
      <c r="N49" s="96"/>
      <c r="O49" s="96"/>
      <c r="P49" s="96"/>
      <c r="Q49" s="95"/>
      <c r="R49" s="95"/>
      <c r="S49" s="95"/>
      <c r="T49" s="95"/>
      <c r="U49" s="95"/>
      <c r="V49" s="89" t="str">
        <f t="shared" si="5"/>
        <v/>
      </c>
      <c r="W49" s="89"/>
      <c r="X49" s="92"/>
      <c r="Y49" s="92"/>
      <c r="Z49" s="89"/>
      <c r="AA49" s="92"/>
      <c r="AB49" s="89"/>
      <c r="AC49" s="104"/>
      <c r="AD49" s="104"/>
      <c r="AE49" s="92"/>
      <c r="AF49" s="92"/>
      <c r="AG49" s="99"/>
      <c r="AH49" s="99"/>
    </row>
    <row r="50" ht="26.25" customHeight="1">
      <c r="B50" s="95"/>
      <c r="C50" s="95"/>
      <c r="D50" s="77"/>
      <c r="E50" s="101"/>
      <c r="F50" s="89" t="str">
        <f t="shared" si="4"/>
        <v/>
      </c>
      <c r="G50" s="92"/>
      <c r="H50" s="103"/>
      <c r="I50" s="92"/>
      <c r="J50" s="93" t="b">
        <v>0</v>
      </c>
      <c r="K50" s="89"/>
      <c r="L50" s="89"/>
      <c r="M50" s="96"/>
      <c r="N50" s="96"/>
      <c r="O50" s="96"/>
      <c r="P50" s="96"/>
      <c r="Q50" s="95"/>
      <c r="R50" s="95"/>
      <c r="S50" s="95"/>
      <c r="T50" s="95"/>
      <c r="U50" s="95"/>
      <c r="V50" s="89" t="str">
        <f t="shared" si="5"/>
        <v/>
      </c>
      <c r="W50" s="89"/>
      <c r="X50" s="92"/>
      <c r="Y50" s="92"/>
      <c r="Z50" s="89"/>
      <c r="AA50" s="92"/>
      <c r="AB50" s="89"/>
      <c r="AC50" s="104"/>
      <c r="AD50" s="104"/>
      <c r="AE50" s="92"/>
      <c r="AF50" s="92"/>
      <c r="AG50" s="99"/>
      <c r="AH50" s="99"/>
    </row>
    <row r="51" ht="26.25" customHeight="1">
      <c r="B51" s="95"/>
      <c r="C51" s="95"/>
      <c r="D51" s="77"/>
      <c r="E51" s="101"/>
      <c r="F51" s="89" t="str">
        <f t="shared" si="4"/>
        <v/>
      </c>
      <c r="G51" s="92"/>
      <c r="H51" s="103"/>
      <c r="I51" s="92"/>
      <c r="J51" s="93" t="b">
        <v>0</v>
      </c>
      <c r="K51" s="89"/>
      <c r="L51" s="89"/>
      <c r="M51" s="96"/>
      <c r="N51" s="96"/>
      <c r="O51" s="96"/>
      <c r="P51" s="96"/>
      <c r="Q51" s="95"/>
      <c r="R51" s="95"/>
      <c r="S51" s="95"/>
      <c r="T51" s="95"/>
      <c r="U51" s="95"/>
      <c r="V51" s="89" t="str">
        <f t="shared" si="5"/>
        <v/>
      </c>
      <c r="W51" s="89"/>
      <c r="X51" s="92"/>
      <c r="Y51" s="92"/>
      <c r="Z51" s="89"/>
      <c r="AA51" s="92"/>
      <c r="AB51" s="89"/>
      <c r="AC51" s="104"/>
      <c r="AD51" s="104"/>
      <c r="AE51" s="92"/>
      <c r="AF51" s="92"/>
      <c r="AG51" s="99"/>
      <c r="AH51" s="99"/>
    </row>
    <row r="52" ht="26.25" customHeight="1">
      <c r="B52" s="95"/>
      <c r="C52" s="95"/>
      <c r="D52" s="77"/>
      <c r="E52" s="101"/>
      <c r="F52" s="89" t="str">
        <f t="shared" si="4"/>
        <v/>
      </c>
      <c r="G52" s="92"/>
      <c r="H52" s="103"/>
      <c r="I52" s="92"/>
      <c r="J52" s="93" t="b">
        <v>0</v>
      </c>
      <c r="K52" s="89"/>
      <c r="L52" s="89"/>
      <c r="M52" s="96"/>
      <c r="N52" s="96"/>
      <c r="O52" s="96"/>
      <c r="P52" s="96"/>
      <c r="Q52" s="95"/>
      <c r="R52" s="95"/>
      <c r="S52" s="95"/>
      <c r="T52" s="95"/>
      <c r="U52" s="95"/>
      <c r="V52" s="89" t="str">
        <f t="shared" si="5"/>
        <v/>
      </c>
      <c r="W52" s="89"/>
      <c r="X52" s="92"/>
      <c r="Y52" s="92"/>
      <c r="Z52" s="89"/>
      <c r="AA52" s="92"/>
      <c r="AB52" s="89"/>
      <c r="AC52" s="104"/>
      <c r="AD52" s="104"/>
      <c r="AE52" s="92"/>
      <c r="AF52" s="92"/>
      <c r="AG52" s="99"/>
      <c r="AH52" s="99"/>
    </row>
    <row r="53" ht="26.25" customHeight="1">
      <c r="B53" s="95"/>
      <c r="C53" s="95"/>
      <c r="D53" s="77"/>
      <c r="E53" s="101"/>
      <c r="F53" s="89" t="str">
        <f t="shared" si="4"/>
        <v/>
      </c>
      <c r="G53" s="92"/>
      <c r="H53" s="103"/>
      <c r="I53" s="92"/>
      <c r="J53" s="93" t="b">
        <v>0</v>
      </c>
      <c r="K53" s="89"/>
      <c r="L53" s="89"/>
      <c r="M53" s="96"/>
      <c r="N53" s="96"/>
      <c r="O53" s="96"/>
      <c r="P53" s="96"/>
      <c r="Q53" s="95"/>
      <c r="R53" s="95"/>
      <c r="S53" s="95"/>
      <c r="T53" s="95"/>
      <c r="U53" s="95"/>
      <c r="V53" s="89" t="str">
        <f t="shared" si="5"/>
        <v/>
      </c>
      <c r="W53" s="89"/>
      <c r="X53" s="92"/>
      <c r="Y53" s="92"/>
      <c r="Z53" s="89"/>
      <c r="AA53" s="92"/>
      <c r="AB53" s="89"/>
      <c r="AC53" s="104"/>
      <c r="AD53" s="104"/>
      <c r="AE53" s="92"/>
      <c r="AF53" s="92"/>
      <c r="AG53" s="99"/>
      <c r="AH53" s="99"/>
    </row>
    <row r="54" ht="26.25" customHeight="1">
      <c r="B54" s="95"/>
      <c r="C54" s="95"/>
      <c r="D54" s="77"/>
      <c r="E54" s="101"/>
      <c r="F54" s="89" t="str">
        <f t="shared" si="4"/>
        <v/>
      </c>
      <c r="G54" s="92"/>
      <c r="H54" s="103"/>
      <c r="I54" s="92"/>
      <c r="J54" s="93" t="b">
        <v>0</v>
      </c>
      <c r="K54" s="89"/>
      <c r="L54" s="89"/>
      <c r="M54" s="96"/>
      <c r="N54" s="96"/>
      <c r="O54" s="96"/>
      <c r="P54" s="96"/>
      <c r="Q54" s="95"/>
      <c r="R54" s="95"/>
      <c r="S54" s="95"/>
      <c r="T54" s="95"/>
      <c r="U54" s="95"/>
      <c r="V54" s="89" t="str">
        <f t="shared" si="5"/>
        <v/>
      </c>
      <c r="W54" s="89"/>
      <c r="X54" s="92"/>
      <c r="Y54" s="92"/>
      <c r="Z54" s="89"/>
      <c r="AA54" s="92"/>
      <c r="AB54" s="89"/>
      <c r="AC54" s="104"/>
      <c r="AD54" s="104"/>
      <c r="AE54" s="92"/>
      <c r="AF54" s="92"/>
      <c r="AG54" s="99"/>
      <c r="AH54" s="99"/>
    </row>
    <row r="55" ht="26.25" customHeight="1">
      <c r="B55" s="95"/>
      <c r="C55" s="95"/>
      <c r="D55" s="77"/>
      <c r="E55" s="101"/>
      <c r="F55" s="89" t="str">
        <f t="shared" si="4"/>
        <v/>
      </c>
      <c r="G55" s="92"/>
      <c r="H55" s="103"/>
      <c r="I55" s="92"/>
      <c r="J55" s="93" t="b">
        <v>0</v>
      </c>
      <c r="K55" s="89"/>
      <c r="L55" s="89"/>
      <c r="M55" s="96"/>
      <c r="N55" s="96"/>
      <c r="O55" s="96"/>
      <c r="P55" s="96"/>
      <c r="Q55" s="95"/>
      <c r="R55" s="95"/>
      <c r="S55" s="95"/>
      <c r="T55" s="95"/>
      <c r="U55" s="95"/>
      <c r="V55" s="89" t="str">
        <f t="shared" si="5"/>
        <v/>
      </c>
      <c r="W55" s="89"/>
      <c r="X55" s="92"/>
      <c r="Y55" s="92"/>
      <c r="Z55" s="89"/>
      <c r="AA55" s="92"/>
      <c r="AB55" s="89"/>
      <c r="AC55" s="104"/>
      <c r="AD55" s="104"/>
      <c r="AE55" s="92"/>
      <c r="AF55" s="92"/>
      <c r="AG55" s="99"/>
      <c r="AH55" s="99"/>
    </row>
    <row r="56" ht="26.25" customHeight="1">
      <c r="B56" s="95"/>
      <c r="C56" s="95"/>
      <c r="D56" s="77"/>
      <c r="E56" s="101"/>
      <c r="F56" s="89" t="str">
        <f t="shared" si="4"/>
        <v/>
      </c>
      <c r="G56" s="92"/>
      <c r="H56" s="103"/>
      <c r="I56" s="92"/>
      <c r="J56" s="93" t="b">
        <v>0</v>
      </c>
      <c r="K56" s="89"/>
      <c r="L56" s="89"/>
      <c r="M56" s="96"/>
      <c r="N56" s="96"/>
      <c r="O56" s="96"/>
      <c r="P56" s="96"/>
      <c r="Q56" s="95"/>
      <c r="R56" s="95"/>
      <c r="S56" s="95"/>
      <c r="T56" s="95"/>
      <c r="U56" s="95"/>
      <c r="V56" s="89" t="str">
        <f t="shared" si="5"/>
        <v/>
      </c>
      <c r="W56" s="89"/>
      <c r="X56" s="92"/>
      <c r="Y56" s="92"/>
      <c r="Z56" s="89"/>
      <c r="AA56" s="92"/>
      <c r="AB56" s="89"/>
      <c r="AC56" s="104"/>
      <c r="AD56" s="104"/>
      <c r="AE56" s="92"/>
      <c r="AF56" s="92"/>
      <c r="AG56" s="99"/>
      <c r="AH56" s="99"/>
    </row>
    <row r="57" ht="26.25" customHeight="1">
      <c r="B57" s="95"/>
      <c r="C57" s="95"/>
      <c r="D57" s="77"/>
      <c r="E57" s="101"/>
      <c r="F57" s="89" t="str">
        <f t="shared" si="4"/>
        <v/>
      </c>
      <c r="G57" s="92"/>
      <c r="H57" s="103"/>
      <c r="I57" s="92"/>
      <c r="J57" s="93" t="b">
        <v>0</v>
      </c>
      <c r="K57" s="89"/>
      <c r="L57" s="89"/>
      <c r="M57" s="96"/>
      <c r="N57" s="96"/>
      <c r="O57" s="96"/>
      <c r="P57" s="96"/>
      <c r="Q57" s="95"/>
      <c r="R57" s="95"/>
      <c r="S57" s="95"/>
      <c r="T57" s="95"/>
      <c r="U57" s="95"/>
      <c r="V57" s="89" t="str">
        <f t="shared" si="5"/>
        <v/>
      </c>
      <c r="W57" s="89"/>
      <c r="X57" s="92"/>
      <c r="Y57" s="92"/>
      <c r="Z57" s="89"/>
      <c r="AA57" s="92"/>
      <c r="AB57" s="89"/>
      <c r="AC57" s="104"/>
      <c r="AD57" s="104"/>
      <c r="AE57" s="92"/>
      <c r="AF57" s="92"/>
      <c r="AG57" s="99"/>
      <c r="AH57" s="99"/>
    </row>
    <row r="58" ht="26.25" customHeight="1">
      <c r="B58" s="95"/>
      <c r="C58" s="95"/>
      <c r="D58" s="77"/>
      <c r="E58" s="101"/>
      <c r="F58" s="89" t="str">
        <f t="shared" si="4"/>
        <v/>
      </c>
      <c r="G58" s="92"/>
      <c r="H58" s="103"/>
      <c r="I58" s="92"/>
      <c r="J58" s="93" t="b">
        <v>0</v>
      </c>
      <c r="K58" s="89"/>
      <c r="L58" s="89"/>
      <c r="M58" s="96"/>
      <c r="N58" s="96"/>
      <c r="O58" s="96"/>
      <c r="P58" s="96"/>
      <c r="Q58" s="95"/>
      <c r="R58" s="95"/>
      <c r="S58" s="95"/>
      <c r="T58" s="95"/>
      <c r="U58" s="95"/>
      <c r="V58" s="89" t="str">
        <f t="shared" si="5"/>
        <v/>
      </c>
      <c r="W58" s="89"/>
      <c r="X58" s="92"/>
      <c r="Y58" s="92"/>
      <c r="Z58" s="89"/>
      <c r="AA58" s="92"/>
      <c r="AB58" s="89"/>
      <c r="AC58" s="104"/>
      <c r="AD58" s="104"/>
      <c r="AE58" s="92"/>
      <c r="AF58" s="92"/>
      <c r="AG58" s="99"/>
      <c r="AH58" s="99"/>
    </row>
    <row r="59" ht="26.25" customHeight="1">
      <c r="B59" s="95"/>
      <c r="C59" s="95"/>
      <c r="D59" s="77"/>
      <c r="E59" s="101"/>
      <c r="F59" s="89" t="str">
        <f t="shared" si="4"/>
        <v/>
      </c>
      <c r="G59" s="92"/>
      <c r="H59" s="103"/>
      <c r="I59" s="92"/>
      <c r="J59" s="93" t="b">
        <v>0</v>
      </c>
      <c r="K59" s="89"/>
      <c r="L59" s="89"/>
      <c r="M59" s="96"/>
      <c r="N59" s="96"/>
      <c r="O59" s="96"/>
      <c r="P59" s="96"/>
      <c r="Q59" s="95"/>
      <c r="R59" s="95"/>
      <c r="S59" s="95"/>
      <c r="T59" s="95"/>
      <c r="U59" s="95"/>
      <c r="V59" s="89" t="str">
        <f t="shared" si="5"/>
        <v/>
      </c>
      <c r="W59" s="89"/>
      <c r="X59" s="92"/>
      <c r="Y59" s="92"/>
      <c r="Z59" s="89"/>
      <c r="AA59" s="92"/>
      <c r="AB59" s="89"/>
      <c r="AC59" s="104"/>
      <c r="AD59" s="104"/>
      <c r="AE59" s="92"/>
      <c r="AF59" s="92"/>
      <c r="AG59" s="99"/>
      <c r="AH59" s="99"/>
    </row>
    <row r="60" ht="26.25" customHeight="1">
      <c r="B60" s="95"/>
      <c r="C60" s="95"/>
      <c r="D60" s="77"/>
      <c r="E60" s="101"/>
      <c r="F60" s="89" t="str">
        <f t="shared" si="4"/>
        <v/>
      </c>
      <c r="G60" s="92"/>
      <c r="H60" s="103"/>
      <c r="I60" s="92"/>
      <c r="J60" s="93" t="b">
        <v>0</v>
      </c>
      <c r="K60" s="89"/>
      <c r="L60" s="89"/>
      <c r="M60" s="96"/>
      <c r="N60" s="96"/>
      <c r="O60" s="96"/>
      <c r="P60" s="96"/>
      <c r="Q60" s="95"/>
      <c r="R60" s="95"/>
      <c r="S60" s="95"/>
      <c r="T60" s="95"/>
      <c r="U60" s="95"/>
      <c r="V60" s="89" t="str">
        <f t="shared" si="5"/>
        <v/>
      </c>
      <c r="W60" s="89"/>
      <c r="X60" s="92"/>
      <c r="Y60" s="92"/>
      <c r="Z60" s="89"/>
      <c r="AA60" s="92"/>
      <c r="AB60" s="89"/>
      <c r="AC60" s="104"/>
      <c r="AD60" s="104"/>
      <c r="AE60" s="92"/>
      <c r="AF60" s="92"/>
      <c r="AG60" s="99"/>
      <c r="AH60" s="99"/>
    </row>
    <row r="61" ht="26.25" customHeight="1">
      <c r="B61" s="95"/>
      <c r="C61" s="95"/>
      <c r="D61" s="77"/>
      <c r="E61" s="101"/>
      <c r="F61" s="89" t="str">
        <f t="shared" si="4"/>
        <v/>
      </c>
      <c r="G61" s="92"/>
      <c r="H61" s="103"/>
      <c r="I61" s="92"/>
      <c r="J61" s="93" t="b">
        <v>0</v>
      </c>
      <c r="K61" s="89"/>
      <c r="L61" s="89"/>
      <c r="M61" s="96"/>
      <c r="N61" s="96"/>
      <c r="O61" s="96"/>
      <c r="P61" s="96"/>
      <c r="Q61" s="95"/>
      <c r="R61" s="95"/>
      <c r="S61" s="95"/>
      <c r="T61" s="95"/>
      <c r="U61" s="95"/>
      <c r="V61" s="89" t="str">
        <f t="shared" si="5"/>
        <v/>
      </c>
      <c r="W61" s="89"/>
      <c r="X61" s="92"/>
      <c r="Y61" s="92"/>
      <c r="Z61" s="89"/>
      <c r="AA61" s="92"/>
      <c r="AB61" s="89"/>
      <c r="AC61" s="104"/>
      <c r="AD61" s="104"/>
      <c r="AE61" s="92"/>
      <c r="AF61" s="92"/>
      <c r="AG61" s="99"/>
      <c r="AH61" s="99"/>
    </row>
    <row r="62" ht="26.25" customHeight="1">
      <c r="B62" s="95"/>
      <c r="C62" s="95"/>
      <c r="D62" s="77"/>
      <c r="E62" s="101"/>
      <c r="F62" s="89" t="str">
        <f t="shared" si="4"/>
        <v/>
      </c>
      <c r="G62" s="92"/>
      <c r="H62" s="103"/>
      <c r="I62" s="92"/>
      <c r="J62" s="93" t="b">
        <v>0</v>
      </c>
      <c r="K62" s="89"/>
      <c r="L62" s="89"/>
      <c r="M62" s="96"/>
      <c r="N62" s="96"/>
      <c r="O62" s="96"/>
      <c r="P62" s="96"/>
      <c r="Q62" s="95"/>
      <c r="R62" s="95"/>
      <c r="S62" s="95"/>
      <c r="T62" s="95"/>
      <c r="U62" s="95"/>
      <c r="V62" s="89" t="str">
        <f t="shared" si="5"/>
        <v/>
      </c>
      <c r="W62" s="89"/>
      <c r="X62" s="92"/>
      <c r="Y62" s="92"/>
      <c r="Z62" s="89"/>
      <c r="AA62" s="92"/>
      <c r="AB62" s="89"/>
      <c r="AC62" s="104"/>
      <c r="AD62" s="104"/>
      <c r="AE62" s="92"/>
      <c r="AF62" s="92"/>
      <c r="AG62" s="99"/>
      <c r="AH62" s="99"/>
    </row>
    <row r="63" ht="26.25" customHeight="1">
      <c r="B63" s="95"/>
      <c r="C63" s="95"/>
      <c r="D63" s="77"/>
      <c r="E63" s="101"/>
      <c r="F63" s="89" t="str">
        <f t="shared" si="4"/>
        <v/>
      </c>
      <c r="G63" s="92"/>
      <c r="H63" s="103"/>
      <c r="I63" s="92"/>
      <c r="J63" s="93" t="b">
        <v>0</v>
      </c>
      <c r="K63" s="89"/>
      <c r="L63" s="89"/>
      <c r="M63" s="96"/>
      <c r="N63" s="96"/>
      <c r="O63" s="96"/>
      <c r="P63" s="96"/>
      <c r="Q63" s="95"/>
      <c r="R63" s="95"/>
      <c r="S63" s="95"/>
      <c r="T63" s="95"/>
      <c r="U63" s="95"/>
      <c r="V63" s="89" t="str">
        <f t="shared" si="5"/>
        <v/>
      </c>
      <c r="W63" s="89"/>
      <c r="X63" s="92"/>
      <c r="Y63" s="92"/>
      <c r="Z63" s="89"/>
      <c r="AA63" s="92"/>
      <c r="AB63" s="89"/>
      <c r="AC63" s="104"/>
      <c r="AD63" s="104"/>
      <c r="AE63" s="92"/>
      <c r="AF63" s="92"/>
      <c r="AG63" s="99"/>
      <c r="AH63" s="99"/>
    </row>
    <row r="64" ht="26.25" customHeight="1">
      <c r="B64" s="95"/>
      <c r="C64" s="95"/>
      <c r="D64" s="77"/>
      <c r="E64" s="101"/>
      <c r="F64" s="89" t="str">
        <f t="shared" si="4"/>
        <v/>
      </c>
      <c r="G64" s="92"/>
      <c r="H64" s="103"/>
      <c r="I64" s="92"/>
      <c r="J64" s="93" t="b">
        <v>0</v>
      </c>
      <c r="K64" s="89"/>
      <c r="L64" s="89"/>
      <c r="M64" s="96"/>
      <c r="N64" s="96"/>
      <c r="O64" s="96"/>
      <c r="P64" s="96"/>
      <c r="Q64" s="95"/>
      <c r="R64" s="95"/>
      <c r="S64" s="95"/>
      <c r="T64" s="95"/>
      <c r="U64" s="95"/>
      <c r="V64" s="89" t="str">
        <f t="shared" si="5"/>
        <v/>
      </c>
      <c r="W64" s="89"/>
      <c r="X64" s="92"/>
      <c r="Y64" s="92"/>
      <c r="Z64" s="89"/>
      <c r="AA64" s="92"/>
      <c r="AB64" s="89"/>
      <c r="AC64" s="104"/>
      <c r="AD64" s="104"/>
      <c r="AE64" s="92"/>
      <c r="AF64" s="92"/>
      <c r="AG64" s="99"/>
      <c r="AH64" s="99"/>
    </row>
    <row r="65" ht="26.25" customHeight="1">
      <c r="B65" s="95"/>
      <c r="C65" s="95"/>
      <c r="D65" s="77"/>
      <c r="E65" s="101"/>
      <c r="F65" s="89" t="str">
        <f t="shared" si="4"/>
        <v/>
      </c>
      <c r="G65" s="92"/>
      <c r="H65" s="103"/>
      <c r="I65" s="92"/>
      <c r="J65" s="93" t="b">
        <v>0</v>
      </c>
      <c r="K65" s="89"/>
      <c r="L65" s="89"/>
      <c r="M65" s="96"/>
      <c r="N65" s="96"/>
      <c r="O65" s="96"/>
      <c r="P65" s="96"/>
      <c r="Q65" s="95"/>
      <c r="R65" s="95"/>
      <c r="S65" s="95"/>
      <c r="T65" s="95"/>
      <c r="U65" s="95"/>
      <c r="V65" s="89" t="str">
        <f t="shared" si="5"/>
        <v/>
      </c>
      <c r="W65" s="89"/>
      <c r="X65" s="92"/>
      <c r="Y65" s="92"/>
      <c r="Z65" s="89"/>
      <c r="AA65" s="92"/>
      <c r="AB65" s="89"/>
      <c r="AC65" s="104"/>
      <c r="AD65" s="104"/>
      <c r="AE65" s="92"/>
      <c r="AF65" s="92"/>
      <c r="AG65" s="99"/>
      <c r="AH65" s="99"/>
    </row>
    <row r="66" ht="26.25" customHeight="1">
      <c r="B66" s="95"/>
      <c r="C66" s="95"/>
      <c r="D66" s="77"/>
      <c r="E66" s="101"/>
      <c r="F66" s="89" t="str">
        <f t="shared" si="4"/>
        <v/>
      </c>
      <c r="G66" s="92"/>
      <c r="H66" s="103"/>
      <c r="I66" s="92"/>
      <c r="J66" s="93" t="b">
        <v>0</v>
      </c>
      <c r="K66" s="89"/>
      <c r="L66" s="89"/>
      <c r="M66" s="96"/>
      <c r="N66" s="96"/>
      <c r="O66" s="96"/>
      <c r="P66" s="96"/>
      <c r="Q66" s="95"/>
      <c r="R66" s="95"/>
      <c r="S66" s="95"/>
      <c r="T66" s="95"/>
      <c r="U66" s="95"/>
      <c r="V66" s="89" t="str">
        <f t="shared" si="5"/>
        <v/>
      </c>
      <c r="W66" s="89"/>
      <c r="X66" s="92"/>
      <c r="Y66" s="92"/>
      <c r="Z66" s="89"/>
      <c r="AA66" s="92"/>
      <c r="AB66" s="89"/>
      <c r="AC66" s="104"/>
      <c r="AD66" s="104"/>
      <c r="AE66" s="92"/>
      <c r="AF66" s="92"/>
      <c r="AG66" s="99"/>
      <c r="AH66" s="99"/>
    </row>
    <row r="67" ht="26.25" customHeight="1">
      <c r="B67" s="95"/>
      <c r="C67" s="95"/>
      <c r="D67" s="77"/>
      <c r="E67" s="101"/>
      <c r="F67" s="89" t="str">
        <f t="shared" si="4"/>
        <v/>
      </c>
      <c r="G67" s="92"/>
      <c r="H67" s="103"/>
      <c r="I67" s="92"/>
      <c r="J67" s="93" t="b">
        <v>0</v>
      </c>
      <c r="K67" s="89"/>
      <c r="L67" s="89"/>
      <c r="M67" s="96"/>
      <c r="N67" s="96"/>
      <c r="O67" s="96"/>
      <c r="P67" s="96"/>
      <c r="Q67" s="95"/>
      <c r="R67" s="95"/>
      <c r="S67" s="95"/>
      <c r="T67" s="95"/>
      <c r="U67" s="95"/>
      <c r="V67" s="89" t="str">
        <f t="shared" si="5"/>
        <v/>
      </c>
      <c r="W67" s="89"/>
      <c r="X67" s="92"/>
      <c r="Y67" s="92"/>
      <c r="Z67" s="89"/>
      <c r="AA67" s="92"/>
      <c r="AB67" s="89"/>
      <c r="AC67" s="104"/>
      <c r="AD67" s="104"/>
      <c r="AE67" s="92"/>
      <c r="AF67" s="92"/>
      <c r="AG67" s="99"/>
      <c r="AH67" s="99"/>
    </row>
    <row r="68" ht="26.25" customHeight="1">
      <c r="B68" s="95"/>
      <c r="C68" s="95"/>
      <c r="D68" s="77"/>
      <c r="E68" s="101"/>
      <c r="F68" s="89" t="str">
        <f t="shared" si="4"/>
        <v/>
      </c>
      <c r="G68" s="92"/>
      <c r="H68" s="103"/>
      <c r="I68" s="92"/>
      <c r="J68" s="93" t="b">
        <v>0</v>
      </c>
      <c r="K68" s="89"/>
      <c r="L68" s="89"/>
      <c r="M68" s="96"/>
      <c r="N68" s="96"/>
      <c r="O68" s="96"/>
      <c r="P68" s="96"/>
      <c r="Q68" s="95"/>
      <c r="R68" s="95"/>
      <c r="S68" s="95"/>
      <c r="T68" s="95"/>
      <c r="U68" s="95"/>
      <c r="V68" s="89" t="str">
        <f t="shared" si="5"/>
        <v/>
      </c>
      <c r="W68" s="89"/>
      <c r="X68" s="92"/>
      <c r="Y68" s="92"/>
      <c r="Z68" s="89"/>
      <c r="AA68" s="92"/>
      <c r="AB68" s="89"/>
      <c r="AC68" s="104"/>
      <c r="AD68" s="104"/>
      <c r="AE68" s="92"/>
      <c r="AF68" s="92"/>
      <c r="AG68" s="99"/>
      <c r="AH68" s="99"/>
    </row>
    <row r="69" ht="26.25" customHeight="1">
      <c r="B69" s="95"/>
      <c r="C69" s="95"/>
      <c r="D69" s="77"/>
      <c r="E69" s="101"/>
      <c r="F69" s="89" t="str">
        <f t="shared" si="4"/>
        <v/>
      </c>
      <c r="G69" s="92"/>
      <c r="H69" s="103"/>
      <c r="I69" s="92"/>
      <c r="J69" s="93" t="b">
        <v>0</v>
      </c>
      <c r="K69" s="89"/>
      <c r="L69" s="89"/>
      <c r="M69" s="96"/>
      <c r="N69" s="96"/>
      <c r="O69" s="96"/>
      <c r="P69" s="96"/>
      <c r="Q69" s="95"/>
      <c r="R69" s="95"/>
      <c r="S69" s="95"/>
      <c r="T69" s="95"/>
      <c r="U69" s="95"/>
      <c r="V69" s="89" t="str">
        <f t="shared" si="5"/>
        <v/>
      </c>
      <c r="W69" s="89"/>
      <c r="X69" s="92"/>
      <c r="Y69" s="92"/>
      <c r="Z69" s="89"/>
      <c r="AA69" s="92"/>
      <c r="AB69" s="89"/>
      <c r="AC69" s="104"/>
      <c r="AD69" s="104"/>
      <c r="AE69" s="92"/>
      <c r="AF69" s="92"/>
      <c r="AG69" s="99"/>
      <c r="AH69" s="99"/>
    </row>
    <row r="70" ht="26.25" customHeight="1">
      <c r="B70" s="95"/>
      <c r="C70" s="95"/>
      <c r="D70" s="77"/>
      <c r="E70" s="101"/>
      <c r="F70" s="89" t="str">
        <f t="shared" ref="F70:F198" si="6">IF(G70="","",ROW()-6)</f>
        <v/>
      </c>
      <c r="G70" s="92"/>
      <c r="H70" s="103"/>
      <c r="I70" s="92"/>
      <c r="J70" s="93" t="b">
        <v>0</v>
      </c>
      <c r="K70" s="89"/>
      <c r="L70" s="89"/>
      <c r="M70" s="96"/>
      <c r="N70" s="96"/>
      <c r="O70" s="96"/>
      <c r="P70" s="96"/>
      <c r="Q70" s="95"/>
      <c r="R70" s="95"/>
      <c r="S70" s="95"/>
      <c r="T70" s="95"/>
      <c r="U70" s="95"/>
      <c r="V70" s="89" t="str">
        <f t="shared" si="5"/>
        <v/>
      </c>
      <c r="W70" s="89"/>
      <c r="X70" s="92"/>
      <c r="Y70" s="92"/>
      <c r="Z70" s="89"/>
      <c r="AA70" s="92"/>
      <c r="AB70" s="89"/>
      <c r="AC70" s="104"/>
      <c r="AD70" s="104"/>
      <c r="AE70" s="92"/>
      <c r="AF70" s="92"/>
      <c r="AG70" s="99"/>
      <c r="AH70" s="99"/>
    </row>
    <row r="71" ht="26.25" customHeight="1">
      <c r="B71" s="95"/>
      <c r="C71" s="95"/>
      <c r="D71" s="77"/>
      <c r="E71" s="101"/>
      <c r="F71" s="89" t="str">
        <f t="shared" si="6"/>
        <v/>
      </c>
      <c r="G71" s="92"/>
      <c r="H71" s="103"/>
      <c r="I71" s="92"/>
      <c r="J71" s="93" t="b">
        <v>0</v>
      </c>
      <c r="K71" s="89"/>
      <c r="L71" s="89"/>
      <c r="M71" s="96"/>
      <c r="N71" s="96"/>
      <c r="O71" s="96"/>
      <c r="P71" s="96"/>
      <c r="Q71" s="95"/>
      <c r="R71" s="95"/>
      <c r="S71" s="95"/>
      <c r="T71" s="95"/>
      <c r="U71" s="95"/>
      <c r="V71" s="89" t="str">
        <f t="shared" si="5"/>
        <v/>
      </c>
      <c r="W71" s="89"/>
      <c r="X71" s="92"/>
      <c r="Y71" s="92"/>
      <c r="Z71" s="89"/>
      <c r="AA71" s="92"/>
      <c r="AB71" s="89"/>
      <c r="AC71" s="104"/>
      <c r="AD71" s="104"/>
      <c r="AE71" s="92"/>
      <c r="AF71" s="92"/>
      <c r="AG71" s="99"/>
      <c r="AH71" s="99"/>
    </row>
    <row r="72" ht="26.25" customHeight="1">
      <c r="B72" s="95"/>
      <c r="C72" s="95"/>
      <c r="D72" s="77"/>
      <c r="E72" s="101"/>
      <c r="F72" s="89" t="str">
        <f t="shared" si="6"/>
        <v/>
      </c>
      <c r="G72" s="92"/>
      <c r="H72" s="103"/>
      <c r="I72" s="92"/>
      <c r="J72" s="93" t="b">
        <v>0</v>
      </c>
      <c r="K72" s="89"/>
      <c r="L72" s="89"/>
      <c r="M72" s="96"/>
      <c r="N72" s="96"/>
      <c r="O72" s="96"/>
      <c r="P72" s="96"/>
      <c r="Q72" s="95"/>
      <c r="R72" s="95"/>
      <c r="S72" s="95"/>
      <c r="T72" s="95"/>
      <c r="U72" s="95"/>
      <c r="V72" s="89" t="str">
        <f t="shared" si="5"/>
        <v/>
      </c>
      <c r="W72" s="89"/>
      <c r="X72" s="92"/>
      <c r="Y72" s="92"/>
      <c r="Z72" s="89"/>
      <c r="AA72" s="92"/>
      <c r="AB72" s="89"/>
      <c r="AC72" s="104"/>
      <c r="AD72" s="104"/>
      <c r="AE72" s="92"/>
      <c r="AF72" s="92"/>
      <c r="AG72" s="99"/>
      <c r="AH72" s="99"/>
    </row>
    <row r="73" ht="26.25" customHeight="1">
      <c r="B73" s="95"/>
      <c r="C73" s="95"/>
      <c r="D73" s="77"/>
      <c r="E73" s="101"/>
      <c r="F73" s="89" t="str">
        <f t="shared" si="6"/>
        <v/>
      </c>
      <c r="G73" s="92"/>
      <c r="H73" s="103"/>
      <c r="I73" s="92"/>
      <c r="J73" s="93" t="b">
        <v>0</v>
      </c>
      <c r="K73" s="89"/>
      <c r="L73" s="89"/>
      <c r="M73" s="96"/>
      <c r="N73" s="96"/>
      <c r="O73" s="96"/>
      <c r="P73" s="96"/>
      <c r="Q73" s="95"/>
      <c r="R73" s="95"/>
      <c r="S73" s="95"/>
      <c r="T73" s="95"/>
      <c r="U73" s="95"/>
      <c r="V73" s="89" t="str">
        <f t="shared" si="5"/>
        <v/>
      </c>
      <c r="W73" s="89"/>
      <c r="X73" s="92"/>
      <c r="Y73" s="92"/>
      <c r="Z73" s="89"/>
      <c r="AA73" s="92"/>
      <c r="AB73" s="89"/>
      <c r="AC73" s="104"/>
      <c r="AD73" s="104"/>
      <c r="AE73" s="92"/>
      <c r="AF73" s="92"/>
      <c r="AG73" s="99"/>
      <c r="AH73" s="99"/>
    </row>
    <row r="74" ht="26.25" customHeight="1">
      <c r="B74" s="95"/>
      <c r="C74" s="95"/>
      <c r="D74" s="77"/>
      <c r="E74" s="101"/>
      <c r="F74" s="89" t="str">
        <f t="shared" si="6"/>
        <v/>
      </c>
      <c r="G74" s="92"/>
      <c r="H74" s="103"/>
      <c r="I74" s="92"/>
      <c r="J74" s="93" t="b">
        <v>0</v>
      </c>
      <c r="K74" s="89"/>
      <c r="L74" s="89"/>
      <c r="M74" s="96"/>
      <c r="N74" s="96"/>
      <c r="O74" s="96"/>
      <c r="P74" s="96"/>
      <c r="Q74" s="95"/>
      <c r="R74" s="95"/>
      <c r="S74" s="95"/>
      <c r="T74" s="95"/>
      <c r="U74" s="95"/>
      <c r="V74" s="89" t="str">
        <f t="shared" si="5"/>
        <v/>
      </c>
      <c r="W74" s="89"/>
      <c r="X74" s="92"/>
      <c r="Y74" s="92"/>
      <c r="Z74" s="89"/>
      <c r="AA74" s="92"/>
      <c r="AB74" s="89"/>
      <c r="AC74" s="104"/>
      <c r="AD74" s="104"/>
      <c r="AE74" s="92"/>
      <c r="AF74" s="92"/>
      <c r="AG74" s="99"/>
      <c r="AH74" s="99"/>
    </row>
    <row r="75" ht="26.25" customHeight="1">
      <c r="B75" s="95"/>
      <c r="C75" s="95"/>
      <c r="D75" s="77"/>
      <c r="E75" s="101"/>
      <c r="F75" s="89" t="str">
        <f t="shared" si="6"/>
        <v/>
      </c>
      <c r="G75" s="92"/>
      <c r="H75" s="103"/>
      <c r="I75" s="92"/>
      <c r="J75" s="93" t="b">
        <v>0</v>
      </c>
      <c r="K75" s="89"/>
      <c r="L75" s="89"/>
      <c r="M75" s="96"/>
      <c r="N75" s="96"/>
      <c r="O75" s="96"/>
      <c r="P75" s="96"/>
      <c r="Q75" s="95"/>
      <c r="R75" s="95"/>
      <c r="S75" s="95"/>
      <c r="T75" s="95"/>
      <c r="U75" s="95"/>
      <c r="V75" s="89" t="str">
        <f t="shared" si="5"/>
        <v/>
      </c>
      <c r="W75" s="89"/>
      <c r="X75" s="92"/>
      <c r="Y75" s="92"/>
      <c r="Z75" s="89"/>
      <c r="AA75" s="92"/>
      <c r="AB75" s="89"/>
      <c r="AC75" s="104"/>
      <c r="AD75" s="104"/>
      <c r="AE75" s="92"/>
      <c r="AF75" s="92"/>
      <c r="AG75" s="99"/>
      <c r="AH75" s="99"/>
    </row>
    <row r="76" ht="26.25" customHeight="1">
      <c r="B76" s="95"/>
      <c r="C76" s="95"/>
      <c r="D76" s="77"/>
      <c r="E76" s="101"/>
      <c r="F76" s="89" t="str">
        <f t="shared" si="6"/>
        <v/>
      </c>
      <c r="G76" s="92"/>
      <c r="H76" s="103"/>
      <c r="I76" s="92"/>
      <c r="J76" s="93" t="b">
        <v>0</v>
      </c>
      <c r="K76" s="89"/>
      <c r="L76" s="89"/>
      <c r="M76" s="96"/>
      <c r="N76" s="96"/>
      <c r="O76" s="96"/>
      <c r="P76" s="96"/>
      <c r="Q76" s="95"/>
      <c r="R76" s="95"/>
      <c r="S76" s="95"/>
      <c r="T76" s="95"/>
      <c r="U76" s="95"/>
      <c r="V76" s="89" t="str">
        <f t="shared" si="5"/>
        <v/>
      </c>
      <c r="W76" s="89"/>
      <c r="X76" s="92"/>
      <c r="Y76" s="92"/>
      <c r="Z76" s="89"/>
      <c r="AA76" s="92"/>
      <c r="AB76" s="89"/>
      <c r="AC76" s="104"/>
      <c r="AD76" s="104"/>
      <c r="AE76" s="92"/>
      <c r="AF76" s="92"/>
      <c r="AG76" s="99"/>
      <c r="AH76" s="99"/>
    </row>
    <row r="77" ht="26.25" customHeight="1">
      <c r="B77" s="95"/>
      <c r="C77" s="95"/>
      <c r="D77" s="77"/>
      <c r="E77" s="101"/>
      <c r="F77" s="89" t="str">
        <f t="shared" si="6"/>
        <v/>
      </c>
      <c r="G77" s="92"/>
      <c r="H77" s="103"/>
      <c r="I77" s="92"/>
      <c r="J77" s="93" t="b">
        <v>0</v>
      </c>
      <c r="K77" s="89"/>
      <c r="L77" s="89"/>
      <c r="M77" s="96"/>
      <c r="N77" s="96"/>
      <c r="O77" s="96"/>
      <c r="P77" s="96"/>
      <c r="Q77" s="95"/>
      <c r="R77" s="95"/>
      <c r="S77" s="95"/>
      <c r="T77" s="95"/>
      <c r="U77" s="95"/>
      <c r="V77" s="89" t="str">
        <f t="shared" si="5"/>
        <v/>
      </c>
      <c r="W77" s="89"/>
      <c r="X77" s="92"/>
      <c r="Y77" s="92"/>
      <c r="Z77" s="89"/>
      <c r="AA77" s="92"/>
      <c r="AB77" s="89"/>
      <c r="AC77" s="104"/>
      <c r="AD77" s="104"/>
      <c r="AE77" s="92"/>
      <c r="AF77" s="92"/>
      <c r="AG77" s="99"/>
      <c r="AH77" s="99"/>
    </row>
    <row r="78" ht="26.25" customHeight="1">
      <c r="B78" s="95"/>
      <c r="C78" s="95"/>
      <c r="D78" s="77"/>
      <c r="E78" s="101"/>
      <c r="F78" s="89" t="str">
        <f t="shared" si="6"/>
        <v/>
      </c>
      <c r="G78" s="92"/>
      <c r="H78" s="103"/>
      <c r="I78" s="92"/>
      <c r="J78" s="93" t="b">
        <v>0</v>
      </c>
      <c r="K78" s="89"/>
      <c r="L78" s="89"/>
      <c r="M78" s="96"/>
      <c r="N78" s="96"/>
      <c r="O78" s="96"/>
      <c r="P78" s="96"/>
      <c r="Q78" s="95"/>
      <c r="R78" s="95"/>
      <c r="S78" s="95"/>
      <c r="T78" s="95"/>
      <c r="U78" s="95"/>
      <c r="V78" s="89" t="str">
        <f t="shared" si="5"/>
        <v/>
      </c>
      <c r="W78" s="89"/>
      <c r="X78" s="92"/>
      <c r="Y78" s="92"/>
      <c r="Z78" s="89"/>
      <c r="AA78" s="92"/>
      <c r="AB78" s="89"/>
      <c r="AC78" s="104"/>
      <c r="AD78" s="104"/>
      <c r="AE78" s="92"/>
      <c r="AF78" s="92"/>
      <c r="AG78" s="99"/>
      <c r="AH78" s="99"/>
    </row>
    <row r="79" ht="26.25" customHeight="1">
      <c r="B79" s="95"/>
      <c r="C79" s="95"/>
      <c r="D79" s="77"/>
      <c r="E79" s="101"/>
      <c r="F79" s="89" t="str">
        <f t="shared" si="6"/>
        <v/>
      </c>
      <c r="G79" s="92"/>
      <c r="H79" s="103"/>
      <c r="I79" s="92"/>
      <c r="J79" s="93" t="b">
        <v>0</v>
      </c>
      <c r="K79" s="89"/>
      <c r="L79" s="89"/>
      <c r="M79" s="96"/>
      <c r="N79" s="96"/>
      <c r="O79" s="96"/>
      <c r="P79" s="96"/>
      <c r="Q79" s="95"/>
      <c r="R79" s="95"/>
      <c r="S79" s="95"/>
      <c r="T79" s="95"/>
      <c r="U79" s="95"/>
      <c r="V79" s="89" t="str">
        <f t="shared" si="5"/>
        <v/>
      </c>
      <c r="W79" s="89"/>
      <c r="X79" s="92"/>
      <c r="Y79" s="92"/>
      <c r="Z79" s="89"/>
      <c r="AA79" s="92"/>
      <c r="AB79" s="89"/>
      <c r="AC79" s="104"/>
      <c r="AD79" s="104"/>
      <c r="AE79" s="92"/>
      <c r="AF79" s="92"/>
      <c r="AG79" s="99"/>
      <c r="AH79" s="99"/>
    </row>
    <row r="80" ht="26.25" customHeight="1">
      <c r="B80" s="95"/>
      <c r="C80" s="95"/>
      <c r="D80" s="77"/>
      <c r="E80" s="101"/>
      <c r="F80" s="89" t="str">
        <f t="shared" si="6"/>
        <v/>
      </c>
      <c r="G80" s="92"/>
      <c r="H80" s="103"/>
      <c r="I80" s="92"/>
      <c r="J80" s="93" t="b">
        <v>0</v>
      </c>
      <c r="K80" s="89"/>
      <c r="L80" s="89"/>
      <c r="M80" s="96"/>
      <c r="N80" s="96"/>
      <c r="O80" s="96"/>
      <c r="P80" s="96"/>
      <c r="Q80" s="95"/>
      <c r="R80" s="95"/>
      <c r="S80" s="95"/>
      <c r="T80" s="95"/>
      <c r="U80" s="95"/>
      <c r="V80" s="89" t="str">
        <f t="shared" si="5"/>
        <v/>
      </c>
      <c r="W80" s="89"/>
      <c r="X80" s="92"/>
      <c r="Y80" s="92"/>
      <c r="Z80" s="89"/>
      <c r="AA80" s="92"/>
      <c r="AB80" s="89"/>
      <c r="AC80" s="104"/>
      <c r="AD80" s="104"/>
      <c r="AE80" s="92"/>
      <c r="AF80" s="92"/>
      <c r="AG80" s="99"/>
      <c r="AH80" s="99"/>
    </row>
    <row r="81" ht="26.25" customHeight="1">
      <c r="B81" s="95"/>
      <c r="C81" s="95"/>
      <c r="D81" s="77"/>
      <c r="E81" s="101"/>
      <c r="F81" s="89" t="str">
        <f t="shared" si="6"/>
        <v/>
      </c>
      <c r="G81" s="92"/>
      <c r="H81" s="103"/>
      <c r="I81" s="92"/>
      <c r="J81" s="93" t="b">
        <v>0</v>
      </c>
      <c r="K81" s="89"/>
      <c r="L81" s="89"/>
      <c r="M81" s="96"/>
      <c r="N81" s="96"/>
      <c r="O81" s="96"/>
      <c r="P81" s="96"/>
      <c r="Q81" s="95"/>
      <c r="R81" s="95"/>
      <c r="S81" s="95"/>
      <c r="T81" s="95"/>
      <c r="U81" s="95"/>
      <c r="V81" s="89" t="str">
        <f t="shared" si="5"/>
        <v/>
      </c>
      <c r="W81" s="89"/>
      <c r="X81" s="92"/>
      <c r="Y81" s="92"/>
      <c r="Z81" s="89"/>
      <c r="AA81" s="92"/>
      <c r="AB81" s="89"/>
      <c r="AC81" s="104"/>
      <c r="AD81" s="104"/>
      <c r="AE81" s="92"/>
      <c r="AF81" s="92"/>
      <c r="AG81" s="99"/>
      <c r="AH81" s="99"/>
    </row>
    <row r="82" ht="26.25" customHeight="1">
      <c r="B82" s="95"/>
      <c r="C82" s="95"/>
      <c r="D82" s="77"/>
      <c r="E82" s="101"/>
      <c r="F82" s="89" t="str">
        <f t="shared" si="6"/>
        <v/>
      </c>
      <c r="G82" s="92"/>
      <c r="H82" s="103"/>
      <c r="I82" s="92"/>
      <c r="J82" s="93" t="b">
        <v>0</v>
      </c>
      <c r="K82" s="89"/>
      <c r="L82" s="89"/>
      <c r="M82" s="96"/>
      <c r="N82" s="96"/>
      <c r="O82" s="96"/>
      <c r="P82" s="96"/>
      <c r="Q82" s="95"/>
      <c r="R82" s="95"/>
      <c r="S82" s="95"/>
      <c r="T82" s="95"/>
      <c r="U82" s="95"/>
      <c r="V82" s="89" t="str">
        <f t="shared" si="5"/>
        <v/>
      </c>
      <c r="W82" s="89"/>
      <c r="X82" s="92"/>
      <c r="Y82" s="92"/>
      <c r="Z82" s="89"/>
      <c r="AA82" s="92"/>
      <c r="AB82" s="89"/>
      <c r="AC82" s="104"/>
      <c r="AD82" s="104"/>
      <c r="AE82" s="92"/>
      <c r="AF82" s="92"/>
      <c r="AG82" s="99"/>
      <c r="AH82" s="99"/>
    </row>
    <row r="83" ht="26.25" customHeight="1">
      <c r="B83" s="95"/>
      <c r="C83" s="95"/>
      <c r="D83" s="77"/>
      <c r="E83" s="101"/>
      <c r="F83" s="89" t="str">
        <f t="shared" si="6"/>
        <v/>
      </c>
      <c r="G83" s="92"/>
      <c r="H83" s="103"/>
      <c r="I83" s="92"/>
      <c r="J83" s="93" t="b">
        <v>0</v>
      </c>
      <c r="K83" s="89"/>
      <c r="L83" s="89"/>
      <c r="M83" s="96"/>
      <c r="N83" s="96"/>
      <c r="O83" s="96"/>
      <c r="P83" s="96"/>
      <c r="Q83" s="95"/>
      <c r="R83" s="95"/>
      <c r="S83" s="95"/>
      <c r="T83" s="95"/>
      <c r="U83" s="95"/>
      <c r="V83" s="89" t="str">
        <f t="shared" si="5"/>
        <v/>
      </c>
      <c r="W83" s="89"/>
      <c r="X83" s="92"/>
      <c r="Y83" s="92"/>
      <c r="Z83" s="89"/>
      <c r="AA83" s="92"/>
      <c r="AB83" s="89"/>
      <c r="AC83" s="104"/>
      <c r="AD83" s="104"/>
      <c r="AE83" s="92"/>
      <c r="AF83" s="92"/>
      <c r="AG83" s="99"/>
      <c r="AH83" s="99"/>
    </row>
    <row r="84" ht="26.25" customHeight="1">
      <c r="B84" s="95"/>
      <c r="C84" s="95"/>
      <c r="D84" s="77"/>
      <c r="E84" s="101"/>
      <c r="F84" s="89" t="str">
        <f t="shared" si="6"/>
        <v/>
      </c>
      <c r="G84" s="92"/>
      <c r="H84" s="103"/>
      <c r="I84" s="92"/>
      <c r="J84" s="93" t="b">
        <v>0</v>
      </c>
      <c r="K84" s="89"/>
      <c r="L84" s="89"/>
      <c r="M84" s="96"/>
      <c r="N84" s="96"/>
      <c r="O84" s="96"/>
      <c r="P84" s="96"/>
      <c r="Q84" s="95"/>
      <c r="R84" s="95"/>
      <c r="S84" s="95"/>
      <c r="T84" s="95"/>
      <c r="U84" s="95"/>
      <c r="V84" s="89" t="str">
        <f t="shared" si="5"/>
        <v/>
      </c>
      <c r="W84" s="89"/>
      <c r="X84" s="92"/>
      <c r="Y84" s="92"/>
      <c r="Z84" s="89"/>
      <c r="AA84" s="92"/>
      <c r="AB84" s="89"/>
      <c r="AC84" s="104"/>
      <c r="AD84" s="104"/>
      <c r="AE84" s="92"/>
      <c r="AF84" s="92"/>
      <c r="AG84" s="99"/>
      <c r="AH84" s="99"/>
    </row>
    <row r="85" ht="26.25" customHeight="1">
      <c r="B85" s="95"/>
      <c r="C85" s="95"/>
      <c r="D85" s="77"/>
      <c r="E85" s="101"/>
      <c r="F85" s="89" t="str">
        <f t="shared" si="6"/>
        <v/>
      </c>
      <c r="G85" s="92"/>
      <c r="H85" s="103"/>
      <c r="I85" s="92"/>
      <c r="J85" s="93" t="b">
        <v>0</v>
      </c>
      <c r="K85" s="89"/>
      <c r="L85" s="89"/>
      <c r="M85" s="96"/>
      <c r="N85" s="96"/>
      <c r="O85" s="96"/>
      <c r="P85" s="96"/>
      <c r="Q85" s="95"/>
      <c r="R85" s="95"/>
      <c r="S85" s="95"/>
      <c r="T85" s="95"/>
      <c r="U85" s="95"/>
      <c r="V85" s="89" t="str">
        <f t="shared" si="5"/>
        <v/>
      </c>
      <c r="W85" s="89"/>
      <c r="X85" s="92"/>
      <c r="Y85" s="92"/>
      <c r="Z85" s="89"/>
      <c r="AA85" s="92"/>
      <c r="AB85" s="89"/>
      <c r="AC85" s="104"/>
      <c r="AD85" s="104"/>
      <c r="AE85" s="92"/>
      <c r="AF85" s="92"/>
      <c r="AG85" s="99"/>
      <c r="AH85" s="99"/>
    </row>
    <row r="86" ht="26.25" customHeight="1">
      <c r="B86" s="95"/>
      <c r="C86" s="95"/>
      <c r="D86" s="77"/>
      <c r="E86" s="101"/>
      <c r="F86" s="89" t="str">
        <f t="shared" si="6"/>
        <v/>
      </c>
      <c r="G86" s="92"/>
      <c r="H86" s="103"/>
      <c r="I86" s="92"/>
      <c r="J86" s="93" t="b">
        <v>0</v>
      </c>
      <c r="K86" s="89"/>
      <c r="L86" s="89"/>
      <c r="M86" s="96"/>
      <c r="N86" s="96"/>
      <c r="O86" s="96"/>
      <c r="P86" s="96"/>
      <c r="Q86" s="95"/>
      <c r="R86" s="95"/>
      <c r="S86" s="95"/>
      <c r="T86" s="95"/>
      <c r="U86" s="95"/>
      <c r="V86" s="89" t="str">
        <f t="shared" si="5"/>
        <v/>
      </c>
      <c r="W86" s="89"/>
      <c r="X86" s="92"/>
      <c r="Y86" s="92"/>
      <c r="Z86" s="89"/>
      <c r="AA86" s="92"/>
      <c r="AB86" s="89"/>
      <c r="AC86" s="104"/>
      <c r="AD86" s="104"/>
      <c r="AE86" s="92"/>
      <c r="AF86" s="92"/>
      <c r="AG86" s="99"/>
      <c r="AH86" s="99"/>
    </row>
    <row r="87" ht="26.25" customHeight="1">
      <c r="B87" s="95"/>
      <c r="C87" s="95"/>
      <c r="D87" s="77"/>
      <c r="E87" s="101"/>
      <c r="F87" s="89" t="str">
        <f t="shared" si="6"/>
        <v/>
      </c>
      <c r="G87" s="92"/>
      <c r="H87" s="103"/>
      <c r="I87" s="92"/>
      <c r="J87" s="93" t="b">
        <v>0</v>
      </c>
      <c r="K87" s="89"/>
      <c r="L87" s="89"/>
      <c r="M87" s="96"/>
      <c r="N87" s="96"/>
      <c r="O87" s="96"/>
      <c r="P87" s="96"/>
      <c r="Q87" s="95"/>
      <c r="R87" s="95"/>
      <c r="S87" s="95"/>
      <c r="T87" s="95"/>
      <c r="U87" s="95"/>
      <c r="V87" s="89" t="str">
        <f t="shared" si="5"/>
        <v/>
      </c>
      <c r="W87" s="89"/>
      <c r="X87" s="92"/>
      <c r="Y87" s="92"/>
      <c r="Z87" s="89"/>
      <c r="AA87" s="92"/>
      <c r="AB87" s="89"/>
      <c r="AC87" s="104"/>
      <c r="AD87" s="104"/>
      <c r="AE87" s="92"/>
      <c r="AF87" s="92"/>
      <c r="AG87" s="99"/>
      <c r="AH87" s="99"/>
    </row>
    <row r="88" ht="26.25" customHeight="1">
      <c r="B88" s="95"/>
      <c r="C88" s="95"/>
      <c r="D88" s="77"/>
      <c r="E88" s="101"/>
      <c r="F88" s="89" t="str">
        <f t="shared" si="6"/>
        <v/>
      </c>
      <c r="G88" s="92"/>
      <c r="H88" s="103"/>
      <c r="I88" s="92"/>
      <c r="J88" s="93" t="b">
        <v>0</v>
      </c>
      <c r="K88" s="89"/>
      <c r="L88" s="89"/>
      <c r="M88" s="96"/>
      <c r="N88" s="96"/>
      <c r="O88" s="96"/>
      <c r="P88" s="96"/>
      <c r="Q88" s="95"/>
      <c r="R88" s="95"/>
      <c r="S88" s="95"/>
      <c r="T88" s="95"/>
      <c r="U88" s="95"/>
      <c r="V88" s="89" t="str">
        <f t="shared" si="5"/>
        <v/>
      </c>
      <c r="W88" s="89"/>
      <c r="X88" s="92"/>
      <c r="Y88" s="92"/>
      <c r="Z88" s="89"/>
      <c r="AA88" s="92"/>
      <c r="AB88" s="89"/>
      <c r="AC88" s="104"/>
      <c r="AD88" s="104"/>
      <c r="AE88" s="92"/>
      <c r="AF88" s="92"/>
      <c r="AG88" s="99"/>
      <c r="AH88" s="99"/>
    </row>
    <row r="89" ht="26.25" customHeight="1">
      <c r="B89" s="95"/>
      <c r="C89" s="95"/>
      <c r="D89" s="77"/>
      <c r="E89" s="101"/>
      <c r="F89" s="89" t="str">
        <f t="shared" si="6"/>
        <v/>
      </c>
      <c r="G89" s="92"/>
      <c r="H89" s="103"/>
      <c r="I89" s="92"/>
      <c r="J89" s="93" t="b">
        <v>0</v>
      </c>
      <c r="K89" s="89"/>
      <c r="L89" s="89"/>
      <c r="M89" s="96"/>
      <c r="N89" s="96"/>
      <c r="O89" s="96"/>
      <c r="P89" s="96"/>
      <c r="Q89" s="95"/>
      <c r="R89" s="95"/>
      <c r="S89" s="95"/>
      <c r="T89" s="95"/>
      <c r="U89" s="95"/>
      <c r="V89" s="89" t="str">
        <f t="shared" si="5"/>
        <v/>
      </c>
      <c r="W89" s="89"/>
      <c r="X89" s="92"/>
      <c r="Y89" s="92"/>
      <c r="Z89" s="89"/>
      <c r="AA89" s="92"/>
      <c r="AB89" s="89"/>
      <c r="AC89" s="104"/>
      <c r="AD89" s="104"/>
      <c r="AE89" s="92"/>
      <c r="AF89" s="92"/>
      <c r="AG89" s="99"/>
      <c r="AH89" s="99"/>
    </row>
    <row r="90" ht="26.25" customHeight="1">
      <c r="B90" s="95"/>
      <c r="C90" s="95"/>
      <c r="D90" s="77"/>
      <c r="E90" s="101"/>
      <c r="F90" s="89" t="str">
        <f t="shared" si="6"/>
        <v/>
      </c>
      <c r="G90" s="92"/>
      <c r="H90" s="103"/>
      <c r="I90" s="92"/>
      <c r="J90" s="93" t="b">
        <v>0</v>
      </c>
      <c r="K90" s="89"/>
      <c r="L90" s="89"/>
      <c r="M90" s="96"/>
      <c r="N90" s="96"/>
      <c r="O90" s="96"/>
      <c r="P90" s="96"/>
      <c r="Q90" s="95"/>
      <c r="R90" s="95"/>
      <c r="S90" s="95"/>
      <c r="T90" s="95"/>
      <c r="U90" s="95"/>
      <c r="V90" s="89" t="str">
        <f t="shared" si="5"/>
        <v/>
      </c>
      <c r="W90" s="89"/>
      <c r="X90" s="92"/>
      <c r="Y90" s="92"/>
      <c r="Z90" s="89"/>
      <c r="AA90" s="92"/>
      <c r="AB90" s="89"/>
      <c r="AC90" s="104"/>
      <c r="AD90" s="104"/>
      <c r="AE90" s="92"/>
      <c r="AF90" s="92"/>
      <c r="AG90" s="99"/>
      <c r="AH90" s="99"/>
    </row>
    <row r="91" ht="26.25" customHeight="1">
      <c r="B91" s="95"/>
      <c r="C91" s="95"/>
      <c r="D91" s="77"/>
      <c r="E91" s="101"/>
      <c r="F91" s="89" t="str">
        <f t="shared" si="6"/>
        <v/>
      </c>
      <c r="G91" s="92"/>
      <c r="H91" s="103"/>
      <c r="I91" s="92"/>
      <c r="J91" s="93" t="b">
        <v>0</v>
      </c>
      <c r="K91" s="89"/>
      <c r="L91" s="89"/>
      <c r="M91" s="96"/>
      <c r="N91" s="96"/>
      <c r="O91" s="96"/>
      <c r="P91" s="96"/>
      <c r="Q91" s="95"/>
      <c r="R91" s="95"/>
      <c r="S91" s="95"/>
      <c r="T91" s="95"/>
      <c r="U91" s="95"/>
      <c r="V91" s="89" t="str">
        <f t="shared" si="5"/>
        <v/>
      </c>
      <c r="W91" s="89"/>
      <c r="X91" s="92"/>
      <c r="Y91" s="92"/>
      <c r="Z91" s="89"/>
      <c r="AA91" s="92"/>
      <c r="AB91" s="89"/>
      <c r="AC91" s="104"/>
      <c r="AD91" s="104"/>
      <c r="AE91" s="92"/>
      <c r="AF91" s="92"/>
      <c r="AG91" s="99"/>
      <c r="AH91" s="99"/>
    </row>
    <row r="92" ht="26.25" customHeight="1">
      <c r="B92" s="95"/>
      <c r="C92" s="95"/>
      <c r="D92" s="77"/>
      <c r="E92" s="101"/>
      <c r="F92" s="89" t="str">
        <f t="shared" si="6"/>
        <v/>
      </c>
      <c r="G92" s="92"/>
      <c r="H92" s="103"/>
      <c r="I92" s="92"/>
      <c r="J92" s="93" t="b">
        <v>0</v>
      </c>
      <c r="K92" s="89"/>
      <c r="L92" s="89"/>
      <c r="M92" s="96"/>
      <c r="N92" s="96"/>
      <c r="O92" s="96"/>
      <c r="P92" s="96"/>
      <c r="Q92" s="95"/>
      <c r="R92" s="95"/>
      <c r="S92" s="95"/>
      <c r="T92" s="95"/>
      <c r="U92" s="95"/>
      <c r="V92" s="89" t="str">
        <f t="shared" si="5"/>
        <v/>
      </c>
      <c r="W92" s="89"/>
      <c r="X92" s="92"/>
      <c r="Y92" s="92"/>
      <c r="Z92" s="89"/>
      <c r="AA92" s="92"/>
      <c r="AB92" s="89"/>
      <c r="AC92" s="104"/>
      <c r="AD92" s="104"/>
      <c r="AE92" s="92"/>
      <c r="AF92" s="92"/>
      <c r="AG92" s="99"/>
      <c r="AH92" s="99"/>
    </row>
    <row r="93" ht="26.25" customHeight="1">
      <c r="B93" s="95"/>
      <c r="C93" s="95"/>
      <c r="D93" s="77"/>
      <c r="E93" s="101"/>
      <c r="F93" s="89" t="str">
        <f t="shared" si="6"/>
        <v/>
      </c>
      <c r="G93" s="92"/>
      <c r="H93" s="103"/>
      <c r="I93" s="92"/>
      <c r="J93" s="93" t="b">
        <v>0</v>
      </c>
      <c r="K93" s="89"/>
      <c r="L93" s="89"/>
      <c r="M93" s="96"/>
      <c r="N93" s="96"/>
      <c r="O93" s="96"/>
      <c r="P93" s="96"/>
      <c r="Q93" s="95"/>
      <c r="R93" s="95"/>
      <c r="S93" s="95"/>
      <c r="T93" s="95"/>
      <c r="U93" s="95"/>
      <c r="V93" s="89" t="str">
        <f t="shared" si="5"/>
        <v/>
      </c>
      <c r="W93" s="89"/>
      <c r="X93" s="92"/>
      <c r="Y93" s="92"/>
      <c r="Z93" s="89"/>
      <c r="AA93" s="92"/>
      <c r="AB93" s="89"/>
      <c r="AC93" s="104"/>
      <c r="AD93" s="104"/>
      <c r="AE93" s="92"/>
      <c r="AF93" s="92"/>
      <c r="AG93" s="99"/>
      <c r="AH93" s="99"/>
    </row>
    <row r="94" ht="26.25" customHeight="1">
      <c r="B94" s="95"/>
      <c r="C94" s="95"/>
      <c r="D94" s="77"/>
      <c r="E94" s="101"/>
      <c r="F94" s="89" t="str">
        <f t="shared" si="6"/>
        <v/>
      </c>
      <c r="G94" s="92"/>
      <c r="H94" s="103"/>
      <c r="I94" s="92"/>
      <c r="J94" s="93" t="b">
        <v>0</v>
      </c>
      <c r="K94" s="89"/>
      <c r="L94" s="89"/>
      <c r="M94" s="96"/>
      <c r="N94" s="96"/>
      <c r="O94" s="96"/>
      <c r="P94" s="96"/>
      <c r="Q94" s="95"/>
      <c r="R94" s="95"/>
      <c r="S94" s="95"/>
      <c r="T94" s="95"/>
      <c r="U94" s="95"/>
      <c r="V94" s="89" t="str">
        <f t="shared" si="5"/>
        <v/>
      </c>
      <c r="W94" s="89"/>
      <c r="X94" s="92"/>
      <c r="Y94" s="92"/>
      <c r="Z94" s="89"/>
      <c r="AA94" s="92"/>
      <c r="AB94" s="89"/>
      <c r="AC94" s="104"/>
      <c r="AD94" s="104"/>
      <c r="AE94" s="92"/>
      <c r="AF94" s="92"/>
      <c r="AG94" s="99"/>
      <c r="AH94" s="99"/>
    </row>
    <row r="95" ht="26.25" customHeight="1">
      <c r="B95" s="95"/>
      <c r="C95" s="95"/>
      <c r="D95" s="77"/>
      <c r="E95" s="101"/>
      <c r="F95" s="89" t="str">
        <f t="shared" si="6"/>
        <v/>
      </c>
      <c r="G95" s="92"/>
      <c r="H95" s="103"/>
      <c r="I95" s="92"/>
      <c r="J95" s="93" t="b">
        <v>0</v>
      </c>
      <c r="K95" s="89"/>
      <c r="L95" s="89"/>
      <c r="M95" s="96"/>
      <c r="N95" s="96"/>
      <c r="O95" s="96"/>
      <c r="P95" s="96"/>
      <c r="Q95" s="95"/>
      <c r="R95" s="95"/>
      <c r="S95" s="95"/>
      <c r="T95" s="95"/>
      <c r="U95" s="95"/>
      <c r="V95" s="89" t="str">
        <f t="shared" si="5"/>
        <v/>
      </c>
      <c r="W95" s="89"/>
      <c r="X95" s="92"/>
      <c r="Y95" s="92"/>
      <c r="Z95" s="89"/>
      <c r="AA95" s="92"/>
      <c r="AB95" s="89"/>
      <c r="AC95" s="104"/>
      <c r="AD95" s="104"/>
      <c r="AE95" s="92"/>
      <c r="AF95" s="92"/>
      <c r="AG95" s="99"/>
      <c r="AH95" s="99"/>
    </row>
    <row r="96" ht="26.25" customHeight="1">
      <c r="B96" s="95"/>
      <c r="C96" s="95"/>
      <c r="D96" s="77"/>
      <c r="E96" s="101"/>
      <c r="F96" s="89" t="str">
        <f t="shared" si="6"/>
        <v/>
      </c>
      <c r="G96" s="92"/>
      <c r="H96" s="103"/>
      <c r="I96" s="92"/>
      <c r="J96" s="93" t="b">
        <v>0</v>
      </c>
      <c r="K96" s="89"/>
      <c r="L96" s="89"/>
      <c r="M96" s="96"/>
      <c r="N96" s="96"/>
      <c r="O96" s="96"/>
      <c r="P96" s="96"/>
      <c r="Q96" s="95"/>
      <c r="R96" s="95"/>
      <c r="S96" s="95"/>
      <c r="T96" s="95"/>
      <c r="U96" s="95"/>
      <c r="V96" s="89" t="str">
        <f t="shared" si="5"/>
        <v/>
      </c>
      <c r="W96" s="89"/>
      <c r="X96" s="92"/>
      <c r="Y96" s="92"/>
      <c r="Z96" s="89"/>
      <c r="AA96" s="92"/>
      <c r="AB96" s="89"/>
      <c r="AC96" s="104"/>
      <c r="AD96" s="104"/>
      <c r="AE96" s="92"/>
      <c r="AF96" s="92"/>
      <c r="AG96" s="99"/>
      <c r="AH96" s="99"/>
    </row>
    <row r="97" ht="26.25" customHeight="1">
      <c r="B97" s="95"/>
      <c r="C97" s="95"/>
      <c r="D97" s="77"/>
      <c r="E97" s="101"/>
      <c r="F97" s="89" t="str">
        <f t="shared" si="6"/>
        <v/>
      </c>
      <c r="G97" s="92"/>
      <c r="H97" s="103"/>
      <c r="I97" s="92"/>
      <c r="J97" s="93" t="b">
        <v>0</v>
      </c>
      <c r="K97" s="89"/>
      <c r="L97" s="89"/>
      <c r="M97" s="96"/>
      <c r="N97" s="96"/>
      <c r="O97" s="96"/>
      <c r="P97" s="96"/>
      <c r="Q97" s="95"/>
      <c r="R97" s="95"/>
      <c r="S97" s="95"/>
      <c r="T97" s="95"/>
      <c r="U97" s="95"/>
      <c r="V97" s="89" t="str">
        <f t="shared" si="5"/>
        <v/>
      </c>
      <c r="W97" s="89"/>
      <c r="X97" s="92"/>
      <c r="Y97" s="92"/>
      <c r="Z97" s="89"/>
      <c r="AA97" s="92"/>
      <c r="AB97" s="89"/>
      <c r="AC97" s="104"/>
      <c r="AD97" s="104"/>
      <c r="AE97" s="92"/>
      <c r="AF97" s="92"/>
      <c r="AG97" s="99"/>
      <c r="AH97" s="99"/>
    </row>
    <row r="98" ht="26.25" customHeight="1">
      <c r="B98" s="95"/>
      <c r="C98" s="95"/>
      <c r="D98" s="77"/>
      <c r="E98" s="101"/>
      <c r="F98" s="89" t="str">
        <f t="shared" si="6"/>
        <v/>
      </c>
      <c r="G98" s="92"/>
      <c r="H98" s="103"/>
      <c r="I98" s="92"/>
      <c r="J98" s="93" t="b">
        <v>0</v>
      </c>
      <c r="K98" s="89"/>
      <c r="L98" s="89"/>
      <c r="M98" s="96"/>
      <c r="N98" s="96"/>
      <c r="O98" s="96"/>
      <c r="P98" s="96"/>
      <c r="Q98" s="95"/>
      <c r="R98" s="95"/>
      <c r="S98" s="95"/>
      <c r="T98" s="95"/>
      <c r="U98" s="95"/>
      <c r="V98" s="89" t="str">
        <f t="shared" si="5"/>
        <v/>
      </c>
      <c r="W98" s="89"/>
      <c r="X98" s="92"/>
      <c r="Y98" s="92"/>
      <c r="Z98" s="89"/>
      <c r="AA98" s="92"/>
      <c r="AB98" s="89"/>
      <c r="AC98" s="104"/>
      <c r="AD98" s="104"/>
      <c r="AE98" s="92"/>
      <c r="AF98" s="92"/>
      <c r="AG98" s="99"/>
      <c r="AH98" s="99"/>
    </row>
    <row r="99" ht="26.25" customHeight="1">
      <c r="B99" s="95"/>
      <c r="C99" s="95"/>
      <c r="D99" s="77"/>
      <c r="E99" s="101"/>
      <c r="F99" s="89" t="str">
        <f t="shared" si="6"/>
        <v/>
      </c>
      <c r="G99" s="92"/>
      <c r="H99" s="103"/>
      <c r="I99" s="92"/>
      <c r="J99" s="93" t="b">
        <v>0</v>
      </c>
      <c r="K99" s="89"/>
      <c r="L99" s="89"/>
      <c r="M99" s="96"/>
      <c r="N99" s="96"/>
      <c r="O99" s="96"/>
      <c r="P99" s="96"/>
      <c r="Q99" s="95"/>
      <c r="R99" s="95"/>
      <c r="S99" s="95"/>
      <c r="T99" s="95"/>
      <c r="U99" s="95"/>
      <c r="V99" s="89" t="str">
        <f t="shared" si="5"/>
        <v/>
      </c>
      <c r="W99" s="89"/>
      <c r="X99" s="92"/>
      <c r="Y99" s="92"/>
      <c r="Z99" s="89"/>
      <c r="AA99" s="92"/>
      <c r="AB99" s="89"/>
      <c r="AC99" s="104"/>
      <c r="AD99" s="104"/>
      <c r="AE99" s="92"/>
      <c r="AF99" s="92"/>
      <c r="AG99" s="99"/>
      <c r="AH99" s="99"/>
    </row>
    <row r="100" ht="26.25" customHeight="1">
      <c r="B100" s="95"/>
      <c r="C100" s="95"/>
      <c r="D100" s="77"/>
      <c r="E100" s="101"/>
      <c r="F100" s="89" t="str">
        <f t="shared" si="6"/>
        <v/>
      </c>
      <c r="G100" s="92"/>
      <c r="H100" s="103"/>
      <c r="I100" s="92"/>
      <c r="J100" s="93" t="b">
        <v>0</v>
      </c>
      <c r="K100" s="89"/>
      <c r="L100" s="89"/>
      <c r="M100" s="96"/>
      <c r="N100" s="96"/>
      <c r="O100" s="96"/>
      <c r="P100" s="96"/>
      <c r="Q100" s="95"/>
      <c r="R100" s="95"/>
      <c r="S100" s="95"/>
      <c r="T100" s="95"/>
      <c r="U100" s="95"/>
      <c r="V100" s="89" t="str">
        <f t="shared" si="5"/>
        <v/>
      </c>
      <c r="W100" s="89"/>
      <c r="X100" s="92"/>
      <c r="Y100" s="92"/>
      <c r="Z100" s="89"/>
      <c r="AA100" s="92"/>
      <c r="AB100" s="89"/>
      <c r="AC100" s="104"/>
      <c r="AD100" s="104"/>
      <c r="AE100" s="92"/>
      <c r="AF100" s="92"/>
      <c r="AG100" s="99"/>
      <c r="AH100" s="99"/>
    </row>
    <row r="101" ht="15.75" customHeight="1">
      <c r="E101" s="112"/>
      <c r="F101" s="52" t="str">
        <f t="shared" si="6"/>
        <v/>
      </c>
      <c r="G101" s="52"/>
      <c r="H101" s="52"/>
      <c r="I101" s="52"/>
      <c r="J101" s="52"/>
      <c r="K101" s="52"/>
      <c r="L101" s="52"/>
      <c r="M101" s="113"/>
      <c r="N101" s="113"/>
      <c r="O101" s="113"/>
      <c r="P101" s="113"/>
      <c r="V101" s="52" t="str">
        <f t="shared" si="5"/>
        <v/>
      </c>
      <c r="W101" s="52"/>
      <c r="X101" s="52"/>
      <c r="Y101" s="52"/>
      <c r="Z101" s="52"/>
      <c r="AA101" s="52"/>
      <c r="AB101" s="114"/>
      <c r="AC101" s="56"/>
      <c r="AD101" s="115"/>
      <c r="AE101" s="116"/>
    </row>
    <row r="102" ht="15.75" customHeight="1">
      <c r="E102" s="112"/>
      <c r="F102" s="52" t="str">
        <f t="shared" si="6"/>
        <v/>
      </c>
      <c r="G102" s="52"/>
      <c r="H102" s="52"/>
      <c r="I102" s="52"/>
      <c r="J102" s="52"/>
      <c r="K102" s="52"/>
      <c r="L102" s="52"/>
      <c r="M102" s="113"/>
      <c r="N102" s="113"/>
      <c r="O102" s="113"/>
      <c r="P102" s="113"/>
      <c r="V102" s="52" t="str">
        <f t="shared" si="5"/>
        <v/>
      </c>
      <c r="W102" s="52"/>
      <c r="X102" s="52"/>
      <c r="Y102" s="52"/>
      <c r="Z102" s="52"/>
      <c r="AA102" s="52"/>
      <c r="AB102" s="114"/>
      <c r="AC102" s="56"/>
      <c r="AD102" s="115"/>
      <c r="AE102" s="116"/>
    </row>
    <row r="103" ht="15.75" customHeight="1">
      <c r="E103" s="112"/>
      <c r="F103" s="52" t="str">
        <f t="shared" si="6"/>
        <v/>
      </c>
      <c r="G103" s="52"/>
      <c r="H103" s="52"/>
      <c r="I103" s="52"/>
      <c r="J103" s="52"/>
      <c r="K103" s="52"/>
      <c r="L103" s="52"/>
      <c r="M103" s="113"/>
      <c r="N103" s="113"/>
      <c r="O103" s="113"/>
      <c r="P103" s="113"/>
      <c r="V103" s="52" t="str">
        <f t="shared" si="5"/>
        <v/>
      </c>
      <c r="W103" s="52"/>
      <c r="X103" s="52"/>
      <c r="Y103" s="52"/>
      <c r="Z103" s="52"/>
      <c r="AA103" s="52"/>
      <c r="AB103" s="114"/>
      <c r="AC103" s="56"/>
      <c r="AD103" s="115"/>
      <c r="AE103" s="116"/>
    </row>
    <row r="104" ht="15.75" customHeight="1">
      <c r="E104" s="112"/>
      <c r="F104" s="52" t="str">
        <f t="shared" si="6"/>
        <v/>
      </c>
      <c r="G104" s="52"/>
      <c r="H104" s="52"/>
      <c r="I104" s="52"/>
      <c r="J104" s="52"/>
      <c r="K104" s="52"/>
      <c r="L104" s="52"/>
      <c r="M104" s="113"/>
      <c r="N104" s="113"/>
      <c r="O104" s="113"/>
      <c r="P104" s="113"/>
      <c r="V104" s="52" t="str">
        <f t="shared" si="5"/>
        <v/>
      </c>
      <c r="W104" s="52"/>
      <c r="X104" s="52"/>
      <c r="Y104" s="52"/>
      <c r="Z104" s="52"/>
      <c r="AA104" s="52"/>
      <c r="AB104" s="114"/>
      <c r="AC104" s="56"/>
      <c r="AD104" s="115"/>
      <c r="AE104" s="116"/>
    </row>
    <row r="105" ht="15.75" customHeight="1">
      <c r="E105" s="112"/>
      <c r="F105" s="52" t="str">
        <f t="shared" si="6"/>
        <v/>
      </c>
      <c r="G105" s="52"/>
      <c r="H105" s="52"/>
      <c r="I105" s="52"/>
      <c r="J105" s="52"/>
      <c r="K105" s="52"/>
      <c r="L105" s="52"/>
      <c r="M105" s="113"/>
      <c r="N105" s="113"/>
      <c r="O105" s="113"/>
      <c r="P105" s="113"/>
      <c r="V105" s="52" t="str">
        <f t="shared" si="5"/>
        <v/>
      </c>
      <c r="W105" s="52"/>
      <c r="X105" s="52"/>
      <c r="Y105" s="52"/>
      <c r="Z105" s="52"/>
      <c r="AA105" s="52"/>
      <c r="AB105" s="114"/>
      <c r="AC105" s="56"/>
      <c r="AD105" s="115"/>
      <c r="AE105" s="116"/>
    </row>
    <row r="106" ht="15.75" customHeight="1">
      <c r="E106" s="112"/>
      <c r="F106" s="52" t="str">
        <f t="shared" si="6"/>
        <v/>
      </c>
      <c r="G106" s="52"/>
      <c r="H106" s="52"/>
      <c r="I106" s="52"/>
      <c r="J106" s="52"/>
      <c r="K106" s="52"/>
      <c r="L106" s="52"/>
      <c r="M106" s="113"/>
      <c r="N106" s="113"/>
      <c r="O106" s="113"/>
      <c r="P106" s="113"/>
      <c r="V106" s="52" t="str">
        <f t="shared" si="5"/>
        <v/>
      </c>
      <c r="W106" s="52"/>
      <c r="X106" s="52"/>
      <c r="Y106" s="52"/>
      <c r="Z106" s="52"/>
      <c r="AA106" s="52"/>
      <c r="AB106" s="114"/>
      <c r="AC106" s="56"/>
      <c r="AD106" s="115"/>
      <c r="AE106" s="116"/>
    </row>
    <row r="107" ht="15.75" customHeight="1">
      <c r="E107" s="112"/>
      <c r="F107" s="52" t="str">
        <f t="shared" si="6"/>
        <v/>
      </c>
      <c r="G107" s="52"/>
      <c r="H107" s="52"/>
      <c r="I107" s="52"/>
      <c r="J107" s="52"/>
      <c r="K107" s="52"/>
      <c r="L107" s="52"/>
      <c r="M107" s="113"/>
      <c r="N107" s="113"/>
      <c r="O107" s="113"/>
      <c r="P107" s="113"/>
      <c r="V107" s="52" t="str">
        <f t="shared" si="5"/>
        <v/>
      </c>
      <c r="W107" s="52"/>
      <c r="X107" s="52"/>
      <c r="Y107" s="52"/>
      <c r="Z107" s="52"/>
      <c r="AA107" s="52"/>
      <c r="AB107" s="114"/>
      <c r="AC107" s="56"/>
      <c r="AD107" s="115"/>
      <c r="AE107" s="116"/>
    </row>
    <row r="108" ht="15.75" customHeight="1">
      <c r="E108" s="112"/>
      <c r="F108" s="52" t="str">
        <f t="shared" si="6"/>
        <v/>
      </c>
      <c r="G108" s="52"/>
      <c r="H108" s="52"/>
      <c r="I108" s="52"/>
      <c r="J108" s="52"/>
      <c r="K108" s="52"/>
      <c r="L108" s="52"/>
      <c r="M108" s="113"/>
      <c r="N108" s="113"/>
      <c r="O108" s="113"/>
      <c r="P108" s="113"/>
      <c r="V108" s="52" t="str">
        <f t="shared" si="5"/>
        <v/>
      </c>
      <c r="W108" s="52"/>
      <c r="X108" s="52"/>
      <c r="Y108" s="52"/>
      <c r="Z108" s="52"/>
      <c r="AA108" s="52"/>
      <c r="AB108" s="114"/>
      <c r="AC108" s="56"/>
      <c r="AD108" s="115"/>
      <c r="AE108" s="116"/>
    </row>
    <row r="109" ht="15.75" customHeight="1">
      <c r="E109" s="112"/>
      <c r="F109" s="52" t="str">
        <f t="shared" si="6"/>
        <v/>
      </c>
      <c r="G109" s="52"/>
      <c r="H109" s="52"/>
      <c r="I109" s="52"/>
      <c r="J109" s="52"/>
      <c r="K109" s="52"/>
      <c r="L109" s="52"/>
      <c r="M109" s="113"/>
      <c r="N109" s="113"/>
      <c r="O109" s="113"/>
      <c r="P109" s="113"/>
      <c r="V109" s="52" t="str">
        <f t="shared" si="5"/>
        <v/>
      </c>
      <c r="W109" s="52"/>
      <c r="X109" s="52"/>
      <c r="Y109" s="52"/>
      <c r="Z109" s="52"/>
      <c r="AA109" s="52"/>
      <c r="AB109" s="114"/>
      <c r="AC109" s="56"/>
      <c r="AD109" s="115"/>
      <c r="AE109" s="116"/>
    </row>
    <row r="110" ht="15.75" customHeight="1">
      <c r="E110" s="112"/>
      <c r="F110" s="52" t="str">
        <f t="shared" si="6"/>
        <v/>
      </c>
      <c r="G110" s="52"/>
      <c r="H110" s="52"/>
      <c r="I110" s="52"/>
      <c r="J110" s="52"/>
      <c r="K110" s="52"/>
      <c r="L110" s="52"/>
      <c r="M110" s="113"/>
      <c r="N110" s="113"/>
      <c r="O110" s="113"/>
      <c r="P110" s="113"/>
      <c r="V110" s="52" t="str">
        <f t="shared" si="5"/>
        <v/>
      </c>
      <c r="W110" s="52"/>
      <c r="X110" s="52"/>
      <c r="Y110" s="52"/>
      <c r="Z110" s="52"/>
      <c r="AA110" s="52"/>
      <c r="AB110" s="114"/>
      <c r="AC110" s="56"/>
      <c r="AD110" s="115"/>
      <c r="AE110" s="116"/>
    </row>
    <row r="111" ht="15.75" customHeight="1">
      <c r="E111" s="112"/>
      <c r="F111" s="52" t="str">
        <f t="shared" si="6"/>
        <v/>
      </c>
      <c r="G111" s="52"/>
      <c r="H111" s="52"/>
      <c r="I111" s="52"/>
      <c r="J111" s="52"/>
      <c r="K111" s="52"/>
      <c r="L111" s="52"/>
      <c r="M111" s="113"/>
      <c r="N111" s="113"/>
      <c r="O111" s="113"/>
      <c r="P111" s="113"/>
      <c r="V111" s="52" t="str">
        <f t="shared" si="5"/>
        <v/>
      </c>
      <c r="W111" s="52"/>
      <c r="X111" s="52"/>
      <c r="Y111" s="52"/>
      <c r="Z111" s="52"/>
      <c r="AA111" s="52"/>
      <c r="AB111" s="114"/>
      <c r="AC111" s="56"/>
      <c r="AD111" s="115"/>
      <c r="AE111" s="116"/>
    </row>
    <row r="112" ht="15.75" customHeight="1">
      <c r="E112" s="112"/>
      <c r="F112" s="52" t="str">
        <f t="shared" si="6"/>
        <v/>
      </c>
      <c r="G112" s="52"/>
      <c r="H112" s="52"/>
      <c r="I112" s="52"/>
      <c r="J112" s="52"/>
      <c r="K112" s="52"/>
      <c r="L112" s="52"/>
      <c r="M112" s="113"/>
      <c r="N112" s="113"/>
      <c r="O112" s="113"/>
      <c r="P112" s="113"/>
      <c r="V112" s="52" t="str">
        <f t="shared" si="5"/>
        <v/>
      </c>
      <c r="W112" s="52"/>
      <c r="X112" s="52"/>
      <c r="Y112" s="52"/>
      <c r="Z112" s="52"/>
      <c r="AA112" s="52"/>
      <c r="AB112" s="114"/>
      <c r="AC112" s="56"/>
      <c r="AD112" s="115"/>
      <c r="AE112" s="116"/>
    </row>
    <row r="113" ht="15.75" customHeight="1">
      <c r="E113" s="112"/>
      <c r="F113" s="52" t="str">
        <f t="shared" si="6"/>
        <v/>
      </c>
      <c r="G113" s="52"/>
      <c r="H113" s="52"/>
      <c r="I113" s="52"/>
      <c r="J113" s="52"/>
      <c r="K113" s="52"/>
      <c r="L113" s="52"/>
      <c r="M113" s="113"/>
      <c r="N113" s="113"/>
      <c r="O113" s="113"/>
      <c r="P113" s="113"/>
      <c r="V113" s="52" t="str">
        <f t="shared" si="5"/>
        <v/>
      </c>
      <c r="W113" s="52"/>
      <c r="X113" s="52"/>
      <c r="Y113" s="52"/>
      <c r="Z113" s="52"/>
      <c r="AA113" s="52"/>
      <c r="AB113" s="114"/>
      <c r="AC113" s="56"/>
      <c r="AD113" s="115"/>
      <c r="AE113" s="116"/>
    </row>
    <row r="114" ht="15.75" customHeight="1">
      <c r="E114" s="112"/>
      <c r="F114" s="52" t="str">
        <f t="shared" si="6"/>
        <v/>
      </c>
      <c r="G114" s="52"/>
      <c r="H114" s="52"/>
      <c r="I114" s="52"/>
      <c r="J114" s="52"/>
      <c r="K114" s="52"/>
      <c r="L114" s="52"/>
      <c r="M114" s="113"/>
      <c r="N114" s="113"/>
      <c r="O114" s="113"/>
      <c r="P114" s="113"/>
      <c r="V114" s="52" t="str">
        <f t="shared" si="5"/>
        <v/>
      </c>
      <c r="W114" s="52"/>
      <c r="X114" s="52"/>
      <c r="Y114" s="52"/>
      <c r="Z114" s="52"/>
      <c r="AA114" s="52"/>
      <c r="AB114" s="114"/>
      <c r="AC114" s="56"/>
      <c r="AD114" s="115"/>
      <c r="AE114" s="116"/>
    </row>
    <row r="115" ht="15.75" customHeight="1">
      <c r="E115" s="112"/>
      <c r="F115" s="52" t="str">
        <f t="shared" si="6"/>
        <v/>
      </c>
      <c r="G115" s="52"/>
      <c r="H115" s="52"/>
      <c r="I115" s="52"/>
      <c r="J115" s="52"/>
      <c r="K115" s="52"/>
      <c r="L115" s="52"/>
      <c r="M115" s="113"/>
      <c r="N115" s="113"/>
      <c r="O115" s="113"/>
      <c r="P115" s="113"/>
      <c r="V115" s="52" t="str">
        <f t="shared" si="5"/>
        <v/>
      </c>
      <c r="W115" s="52"/>
      <c r="X115" s="52"/>
      <c r="Y115" s="52"/>
      <c r="Z115" s="52"/>
      <c r="AA115" s="52"/>
      <c r="AB115" s="114"/>
      <c r="AC115" s="56"/>
      <c r="AD115" s="115"/>
      <c r="AE115" s="116"/>
    </row>
    <row r="116" ht="15.75" customHeight="1">
      <c r="E116" s="112"/>
      <c r="F116" s="52" t="str">
        <f t="shared" si="6"/>
        <v/>
      </c>
      <c r="G116" s="52"/>
      <c r="H116" s="52"/>
      <c r="I116" s="52"/>
      <c r="J116" s="52"/>
      <c r="K116" s="52"/>
      <c r="L116" s="52"/>
      <c r="M116" s="113"/>
      <c r="N116" s="113"/>
      <c r="O116" s="113"/>
      <c r="P116" s="113"/>
      <c r="V116" s="52" t="str">
        <f t="shared" si="5"/>
        <v/>
      </c>
      <c r="W116" s="52"/>
      <c r="X116" s="52"/>
      <c r="Y116" s="52"/>
      <c r="Z116" s="52"/>
      <c r="AA116" s="52"/>
      <c r="AB116" s="114"/>
      <c r="AC116" s="56"/>
      <c r="AD116" s="115"/>
      <c r="AE116" s="116"/>
    </row>
    <row r="117" ht="15.75" customHeight="1">
      <c r="E117" s="112"/>
      <c r="F117" s="52" t="str">
        <f t="shared" si="6"/>
        <v/>
      </c>
      <c r="G117" s="52"/>
      <c r="H117" s="52"/>
      <c r="I117" s="52"/>
      <c r="J117" s="52"/>
      <c r="K117" s="52"/>
      <c r="L117" s="52"/>
      <c r="M117" s="113"/>
      <c r="N117" s="113"/>
      <c r="O117" s="113"/>
      <c r="P117" s="113"/>
      <c r="V117" s="52" t="str">
        <f t="shared" si="5"/>
        <v/>
      </c>
      <c r="W117" s="52"/>
      <c r="X117" s="52"/>
      <c r="Y117" s="52"/>
      <c r="Z117" s="52"/>
      <c r="AA117" s="52"/>
      <c r="AB117" s="114"/>
      <c r="AC117" s="56"/>
      <c r="AD117" s="115"/>
      <c r="AE117" s="116"/>
    </row>
    <row r="118" ht="15.75" customHeight="1">
      <c r="E118" s="112"/>
      <c r="F118" s="52" t="str">
        <f t="shared" si="6"/>
        <v/>
      </c>
      <c r="G118" s="52"/>
      <c r="H118" s="52"/>
      <c r="I118" s="52"/>
      <c r="J118" s="52"/>
      <c r="K118" s="52"/>
      <c r="L118" s="52"/>
      <c r="M118" s="113"/>
      <c r="N118" s="113"/>
      <c r="O118" s="113"/>
      <c r="P118" s="113"/>
      <c r="V118" s="52" t="str">
        <f t="shared" si="5"/>
        <v/>
      </c>
      <c r="W118" s="52"/>
      <c r="X118" s="52"/>
      <c r="Y118" s="52"/>
      <c r="Z118" s="52"/>
      <c r="AA118" s="52"/>
      <c r="AB118" s="114"/>
      <c r="AC118" s="56"/>
      <c r="AD118" s="115"/>
      <c r="AE118" s="116"/>
    </row>
    <row r="119" ht="15.75" customHeight="1">
      <c r="E119" s="112"/>
      <c r="F119" s="52" t="str">
        <f t="shared" si="6"/>
        <v/>
      </c>
      <c r="G119" s="52"/>
      <c r="H119" s="52"/>
      <c r="I119" s="52"/>
      <c r="J119" s="52"/>
      <c r="K119" s="52"/>
      <c r="L119" s="52"/>
      <c r="M119" s="113"/>
      <c r="N119" s="113"/>
      <c r="O119" s="113"/>
      <c r="P119" s="113"/>
      <c r="V119" s="52" t="str">
        <f t="shared" si="5"/>
        <v/>
      </c>
      <c r="W119" s="52"/>
      <c r="X119" s="52"/>
      <c r="Y119" s="52"/>
      <c r="Z119" s="52"/>
      <c r="AA119" s="52"/>
      <c r="AB119" s="114"/>
      <c r="AC119" s="56"/>
      <c r="AD119" s="115"/>
      <c r="AE119" s="116"/>
    </row>
    <row r="120" ht="15.75" customHeight="1">
      <c r="E120" s="112"/>
      <c r="F120" s="52" t="str">
        <f t="shared" si="6"/>
        <v/>
      </c>
      <c r="G120" s="52"/>
      <c r="H120" s="52"/>
      <c r="I120" s="52"/>
      <c r="J120" s="52"/>
      <c r="K120" s="52"/>
      <c r="L120" s="52"/>
      <c r="M120" s="113"/>
      <c r="N120" s="113"/>
      <c r="O120" s="113"/>
      <c r="P120" s="113"/>
      <c r="V120" s="52" t="str">
        <f t="shared" si="5"/>
        <v/>
      </c>
      <c r="W120" s="52"/>
      <c r="X120" s="52"/>
      <c r="Y120" s="52"/>
      <c r="Z120" s="52"/>
      <c r="AA120" s="52"/>
      <c r="AB120" s="114"/>
      <c r="AC120" s="56"/>
      <c r="AD120" s="115"/>
      <c r="AE120" s="116"/>
    </row>
    <row r="121" ht="15.75" customHeight="1">
      <c r="E121" s="112"/>
      <c r="F121" s="52" t="str">
        <f t="shared" si="6"/>
        <v/>
      </c>
      <c r="G121" s="52"/>
      <c r="H121" s="52"/>
      <c r="I121" s="52"/>
      <c r="J121" s="52"/>
      <c r="K121" s="52"/>
      <c r="L121" s="52"/>
      <c r="M121" s="113"/>
      <c r="N121" s="113"/>
      <c r="O121" s="113"/>
      <c r="P121" s="113"/>
      <c r="V121" s="52" t="str">
        <f t="shared" si="5"/>
        <v/>
      </c>
      <c r="W121" s="52"/>
      <c r="X121" s="52"/>
      <c r="Y121" s="52"/>
      <c r="Z121" s="52"/>
      <c r="AA121" s="52"/>
      <c r="AB121" s="114"/>
      <c r="AC121" s="56"/>
      <c r="AD121" s="115"/>
      <c r="AE121" s="116"/>
    </row>
    <row r="122" ht="15.75" customHeight="1">
      <c r="E122" s="112"/>
      <c r="F122" s="52" t="str">
        <f t="shared" si="6"/>
        <v/>
      </c>
      <c r="G122" s="52"/>
      <c r="H122" s="52"/>
      <c r="I122" s="52"/>
      <c r="J122" s="52"/>
      <c r="K122" s="52"/>
      <c r="L122" s="52"/>
      <c r="M122" s="113"/>
      <c r="N122" s="113"/>
      <c r="O122" s="113"/>
      <c r="P122" s="113"/>
      <c r="V122" s="52" t="str">
        <f t="shared" si="5"/>
        <v/>
      </c>
      <c r="W122" s="52"/>
      <c r="X122" s="52"/>
      <c r="Y122" s="52"/>
      <c r="Z122" s="52"/>
      <c r="AA122" s="52"/>
      <c r="AB122" s="114"/>
      <c r="AC122" s="56"/>
      <c r="AD122" s="115"/>
      <c r="AE122" s="116"/>
    </row>
    <row r="123" ht="15.75" customHeight="1">
      <c r="E123" s="112"/>
      <c r="F123" s="52" t="str">
        <f t="shared" si="6"/>
        <v/>
      </c>
      <c r="G123" s="52"/>
      <c r="H123" s="52"/>
      <c r="I123" s="52"/>
      <c r="J123" s="52"/>
      <c r="K123" s="52"/>
      <c r="L123" s="52"/>
      <c r="M123" s="113"/>
      <c r="N123" s="113"/>
      <c r="O123" s="113"/>
      <c r="P123" s="113"/>
      <c r="V123" s="52" t="str">
        <f t="shared" si="5"/>
        <v/>
      </c>
      <c r="W123" s="52"/>
      <c r="X123" s="52"/>
      <c r="Y123" s="52"/>
      <c r="Z123" s="52"/>
      <c r="AA123" s="52"/>
      <c r="AB123" s="114"/>
      <c r="AC123" s="56"/>
      <c r="AD123" s="115"/>
      <c r="AE123" s="116"/>
    </row>
    <row r="124" ht="15.75" customHeight="1">
      <c r="E124" s="112"/>
      <c r="F124" s="52" t="str">
        <f t="shared" si="6"/>
        <v/>
      </c>
      <c r="G124" s="52"/>
      <c r="H124" s="52"/>
      <c r="I124" s="52"/>
      <c r="J124" s="52"/>
      <c r="K124" s="52"/>
      <c r="L124" s="52"/>
      <c r="M124" s="113"/>
      <c r="N124" s="113"/>
      <c r="O124" s="113"/>
      <c r="P124" s="113"/>
      <c r="V124" s="52" t="str">
        <f t="shared" si="5"/>
        <v/>
      </c>
      <c r="W124" s="52"/>
      <c r="X124" s="52"/>
      <c r="Y124" s="52"/>
      <c r="Z124" s="52"/>
      <c r="AA124" s="52"/>
      <c r="AB124" s="114"/>
      <c r="AC124" s="56"/>
      <c r="AD124" s="115"/>
      <c r="AE124" s="116"/>
    </row>
    <row r="125" ht="15.75" customHeight="1">
      <c r="E125" s="112"/>
      <c r="F125" s="52" t="str">
        <f t="shared" si="6"/>
        <v/>
      </c>
      <c r="G125" s="52"/>
      <c r="H125" s="52"/>
      <c r="I125" s="52"/>
      <c r="J125" s="52"/>
      <c r="K125" s="52"/>
      <c r="L125" s="52"/>
      <c r="M125" s="113"/>
      <c r="N125" s="113"/>
      <c r="O125" s="113"/>
      <c r="P125" s="113"/>
      <c r="V125" s="52" t="str">
        <f t="shared" si="5"/>
        <v/>
      </c>
      <c r="W125" s="52"/>
      <c r="X125" s="52"/>
      <c r="Y125" s="52"/>
      <c r="Z125" s="52"/>
      <c r="AA125" s="52"/>
      <c r="AB125" s="114"/>
      <c r="AC125" s="56"/>
      <c r="AD125" s="115"/>
      <c r="AE125" s="116"/>
    </row>
    <row r="126" ht="15.75" customHeight="1">
      <c r="E126" s="112"/>
      <c r="F126" s="52" t="str">
        <f t="shared" si="6"/>
        <v/>
      </c>
      <c r="G126" s="52"/>
      <c r="H126" s="52"/>
      <c r="I126" s="52"/>
      <c r="J126" s="52"/>
      <c r="K126" s="52"/>
      <c r="L126" s="52"/>
      <c r="M126" s="113"/>
      <c r="N126" s="113"/>
      <c r="O126" s="113"/>
      <c r="P126" s="113"/>
      <c r="V126" s="52" t="str">
        <f t="shared" si="5"/>
        <v/>
      </c>
      <c r="W126" s="52"/>
      <c r="X126" s="52"/>
      <c r="Y126" s="52"/>
      <c r="Z126" s="52"/>
      <c r="AA126" s="52"/>
      <c r="AB126" s="114"/>
      <c r="AC126" s="56"/>
      <c r="AD126" s="115"/>
      <c r="AE126" s="116"/>
    </row>
    <row r="127" ht="15.75" customHeight="1">
      <c r="E127" s="112"/>
      <c r="F127" s="52" t="str">
        <f t="shared" si="6"/>
        <v/>
      </c>
      <c r="G127" s="52"/>
      <c r="H127" s="52"/>
      <c r="I127" s="52"/>
      <c r="J127" s="52"/>
      <c r="K127" s="52"/>
      <c r="L127" s="52"/>
      <c r="M127" s="113"/>
      <c r="N127" s="113"/>
      <c r="O127" s="113"/>
      <c r="P127" s="113"/>
      <c r="V127" s="52" t="str">
        <f t="shared" si="5"/>
        <v/>
      </c>
      <c r="W127" s="52"/>
      <c r="X127" s="52"/>
      <c r="Y127" s="52"/>
      <c r="Z127" s="52"/>
      <c r="AA127" s="52"/>
      <c r="AB127" s="114"/>
      <c r="AC127" s="56"/>
      <c r="AD127" s="115"/>
      <c r="AE127" s="116"/>
    </row>
    <row r="128" ht="15.75" customHeight="1">
      <c r="E128" s="112"/>
      <c r="F128" s="52" t="str">
        <f t="shared" si="6"/>
        <v/>
      </c>
      <c r="G128" s="52"/>
      <c r="H128" s="52"/>
      <c r="I128" s="52"/>
      <c r="J128" s="52"/>
      <c r="K128" s="52"/>
      <c r="L128" s="52"/>
      <c r="M128" s="113"/>
      <c r="N128" s="113"/>
      <c r="O128" s="113"/>
      <c r="P128" s="113"/>
      <c r="V128" s="52" t="str">
        <f t="shared" si="5"/>
        <v/>
      </c>
      <c r="W128" s="52"/>
      <c r="X128" s="52"/>
      <c r="Y128" s="52"/>
      <c r="Z128" s="52"/>
      <c r="AA128" s="52"/>
      <c r="AB128" s="114"/>
      <c r="AC128" s="56"/>
      <c r="AD128" s="115"/>
      <c r="AE128" s="116"/>
    </row>
    <row r="129" ht="15.75" customHeight="1">
      <c r="E129" s="112"/>
      <c r="F129" s="52" t="str">
        <f t="shared" si="6"/>
        <v/>
      </c>
      <c r="G129" s="52"/>
      <c r="H129" s="52"/>
      <c r="I129" s="52"/>
      <c r="J129" s="52"/>
      <c r="K129" s="52"/>
      <c r="L129" s="52"/>
      <c r="M129" s="113"/>
      <c r="N129" s="113"/>
      <c r="O129" s="113"/>
      <c r="P129" s="113"/>
      <c r="V129" s="52" t="str">
        <f t="shared" si="5"/>
        <v/>
      </c>
      <c r="W129" s="52"/>
      <c r="X129" s="52"/>
      <c r="Y129" s="52"/>
      <c r="Z129" s="52"/>
      <c r="AA129" s="52"/>
      <c r="AB129" s="114"/>
      <c r="AC129" s="56"/>
      <c r="AD129" s="115"/>
      <c r="AE129" s="116"/>
    </row>
    <row r="130" ht="15.75" customHeight="1">
      <c r="E130" s="112"/>
      <c r="F130" s="52" t="str">
        <f t="shared" si="6"/>
        <v/>
      </c>
      <c r="G130" s="52"/>
      <c r="H130" s="52"/>
      <c r="I130" s="52"/>
      <c r="J130" s="52"/>
      <c r="K130" s="52"/>
      <c r="L130" s="52"/>
      <c r="M130" s="113"/>
      <c r="N130" s="113"/>
      <c r="O130" s="113"/>
      <c r="P130" s="113"/>
      <c r="V130" s="52" t="str">
        <f t="shared" si="5"/>
        <v/>
      </c>
      <c r="W130" s="52"/>
      <c r="X130" s="52"/>
      <c r="Y130" s="52"/>
      <c r="Z130" s="52"/>
      <c r="AA130" s="52"/>
      <c r="AB130" s="114"/>
      <c r="AC130" s="56"/>
      <c r="AD130" s="115"/>
      <c r="AE130" s="116"/>
    </row>
    <row r="131" ht="15.75" customHeight="1">
      <c r="E131" s="112"/>
      <c r="F131" s="52" t="str">
        <f t="shared" si="6"/>
        <v/>
      </c>
      <c r="G131" s="52"/>
      <c r="H131" s="52"/>
      <c r="I131" s="52"/>
      <c r="J131" s="52"/>
      <c r="K131" s="52"/>
      <c r="L131" s="52"/>
      <c r="M131" s="113"/>
      <c r="N131" s="113"/>
      <c r="O131" s="113"/>
      <c r="P131" s="113"/>
      <c r="V131" s="52" t="str">
        <f t="shared" si="5"/>
        <v/>
      </c>
      <c r="W131" s="52"/>
      <c r="X131" s="52"/>
      <c r="Y131" s="52"/>
      <c r="Z131" s="52"/>
      <c r="AA131" s="52"/>
      <c r="AB131" s="114"/>
      <c r="AC131" s="56"/>
      <c r="AD131" s="115"/>
      <c r="AE131" s="116"/>
    </row>
    <row r="132" ht="15.75" customHeight="1">
      <c r="E132" s="112"/>
      <c r="F132" s="52" t="str">
        <f t="shared" si="6"/>
        <v/>
      </c>
      <c r="G132" s="52"/>
      <c r="H132" s="52"/>
      <c r="I132" s="52"/>
      <c r="J132" s="52"/>
      <c r="K132" s="52"/>
      <c r="L132" s="52"/>
      <c r="M132" s="113"/>
      <c r="N132" s="113"/>
      <c r="O132" s="113"/>
      <c r="P132" s="113"/>
      <c r="V132" s="52" t="str">
        <f t="shared" si="5"/>
        <v/>
      </c>
      <c r="W132" s="52"/>
      <c r="X132" s="52"/>
      <c r="Y132" s="52"/>
      <c r="Z132" s="52"/>
      <c r="AA132" s="52"/>
      <c r="AB132" s="114"/>
      <c r="AC132" s="56"/>
      <c r="AD132" s="115"/>
      <c r="AE132" s="116"/>
    </row>
    <row r="133" ht="15.75" customHeight="1">
      <c r="E133" s="112"/>
      <c r="F133" s="52" t="str">
        <f t="shared" si="6"/>
        <v/>
      </c>
      <c r="G133" s="52"/>
      <c r="H133" s="52"/>
      <c r="I133" s="52"/>
      <c r="J133" s="52"/>
      <c r="K133" s="52"/>
      <c r="L133" s="52"/>
      <c r="M133" s="113"/>
      <c r="N133" s="113"/>
      <c r="O133" s="113"/>
      <c r="P133" s="113"/>
      <c r="V133" s="52" t="str">
        <f t="shared" si="5"/>
        <v/>
      </c>
      <c r="W133" s="52"/>
      <c r="X133" s="52"/>
      <c r="Y133" s="52"/>
      <c r="Z133" s="52"/>
      <c r="AA133" s="52"/>
      <c r="AB133" s="114"/>
      <c r="AC133" s="56"/>
      <c r="AD133" s="115"/>
      <c r="AE133" s="116"/>
    </row>
    <row r="134" ht="15.75" customHeight="1">
      <c r="E134" s="112"/>
      <c r="F134" s="52" t="str">
        <f t="shared" si="6"/>
        <v/>
      </c>
      <c r="G134" s="52"/>
      <c r="H134" s="52"/>
      <c r="I134" s="52"/>
      <c r="J134" s="52"/>
      <c r="K134" s="52"/>
      <c r="L134" s="52"/>
      <c r="M134" s="113"/>
      <c r="N134" s="113"/>
      <c r="O134" s="113"/>
      <c r="P134" s="113"/>
      <c r="V134" s="52" t="str">
        <f t="shared" si="5"/>
        <v/>
      </c>
      <c r="W134" s="52"/>
      <c r="X134" s="52"/>
      <c r="Y134" s="52"/>
      <c r="Z134" s="52"/>
      <c r="AA134" s="52"/>
      <c r="AB134" s="114"/>
      <c r="AC134" s="56"/>
      <c r="AD134" s="115"/>
      <c r="AE134" s="116"/>
    </row>
    <row r="135" ht="15.75" customHeight="1">
      <c r="E135" s="112"/>
      <c r="F135" s="52" t="str">
        <f t="shared" si="6"/>
        <v/>
      </c>
      <c r="G135" s="52"/>
      <c r="H135" s="52"/>
      <c r="I135" s="52"/>
      <c r="J135" s="52"/>
      <c r="K135" s="52"/>
      <c r="L135" s="52"/>
      <c r="M135" s="113"/>
      <c r="N135" s="113"/>
      <c r="O135" s="113"/>
      <c r="P135" s="113"/>
      <c r="V135" s="52" t="str">
        <f t="shared" si="5"/>
        <v/>
      </c>
      <c r="W135" s="52"/>
      <c r="X135" s="52"/>
      <c r="Y135" s="52"/>
      <c r="Z135" s="52"/>
      <c r="AA135" s="52"/>
      <c r="AB135" s="114"/>
      <c r="AC135" s="56"/>
      <c r="AD135" s="115"/>
      <c r="AE135" s="116"/>
    </row>
    <row r="136" ht="15.75" customHeight="1">
      <c r="E136" s="112"/>
      <c r="F136" s="52" t="str">
        <f t="shared" si="6"/>
        <v/>
      </c>
      <c r="G136" s="52"/>
      <c r="H136" s="52"/>
      <c r="I136" s="52"/>
      <c r="J136" s="52"/>
      <c r="K136" s="52"/>
      <c r="L136" s="52"/>
      <c r="M136" s="113"/>
      <c r="N136" s="113"/>
      <c r="O136" s="113"/>
      <c r="P136" s="113"/>
      <c r="V136" s="52" t="str">
        <f t="shared" si="5"/>
        <v/>
      </c>
      <c r="W136" s="52"/>
      <c r="X136" s="52"/>
      <c r="Y136" s="52"/>
      <c r="Z136" s="52"/>
      <c r="AA136" s="52"/>
      <c r="AB136" s="114"/>
      <c r="AC136" s="56"/>
      <c r="AD136" s="115"/>
      <c r="AE136" s="116"/>
    </row>
    <row r="137" ht="15.75" customHeight="1">
      <c r="E137" s="112"/>
      <c r="F137" s="52" t="str">
        <f t="shared" si="6"/>
        <v/>
      </c>
      <c r="G137" s="52"/>
      <c r="H137" s="52"/>
      <c r="I137" s="52"/>
      <c r="J137" s="52"/>
      <c r="K137" s="52"/>
      <c r="L137" s="52"/>
      <c r="M137" s="113"/>
      <c r="N137" s="113"/>
      <c r="O137" s="113"/>
      <c r="P137" s="113"/>
      <c r="V137" s="52" t="str">
        <f t="shared" si="5"/>
        <v/>
      </c>
      <c r="W137" s="52"/>
      <c r="X137" s="52"/>
      <c r="Y137" s="52"/>
      <c r="Z137" s="52"/>
      <c r="AA137" s="52"/>
      <c r="AB137" s="114"/>
      <c r="AC137" s="56"/>
      <c r="AD137" s="115"/>
      <c r="AE137" s="116"/>
    </row>
    <row r="138" ht="15.75" customHeight="1">
      <c r="E138" s="112"/>
      <c r="F138" s="52" t="str">
        <f t="shared" si="6"/>
        <v/>
      </c>
      <c r="G138" s="52"/>
      <c r="H138" s="52"/>
      <c r="I138" s="52"/>
      <c r="J138" s="52"/>
      <c r="K138" s="52"/>
      <c r="L138" s="52"/>
      <c r="M138" s="113"/>
      <c r="N138" s="113"/>
      <c r="O138" s="113"/>
      <c r="P138" s="113"/>
      <c r="V138" s="52" t="str">
        <f t="shared" si="5"/>
        <v/>
      </c>
      <c r="W138" s="52"/>
      <c r="X138" s="52"/>
      <c r="Y138" s="52"/>
      <c r="Z138" s="52"/>
      <c r="AA138" s="52"/>
      <c r="AB138" s="114"/>
      <c r="AC138" s="56"/>
      <c r="AD138" s="115"/>
      <c r="AE138" s="116"/>
    </row>
    <row r="139" ht="15.75" customHeight="1">
      <c r="E139" s="112"/>
      <c r="F139" s="52" t="str">
        <f t="shared" si="6"/>
        <v/>
      </c>
      <c r="G139" s="52"/>
      <c r="H139" s="52"/>
      <c r="I139" s="52"/>
      <c r="J139" s="52"/>
      <c r="K139" s="52"/>
      <c r="L139" s="52"/>
      <c r="M139" s="113"/>
      <c r="N139" s="113"/>
      <c r="O139" s="113"/>
      <c r="P139" s="113"/>
      <c r="V139" s="52" t="str">
        <f t="shared" si="5"/>
        <v/>
      </c>
      <c r="W139" s="52"/>
      <c r="X139" s="52"/>
      <c r="Y139" s="52"/>
      <c r="Z139" s="52"/>
      <c r="AA139" s="52"/>
      <c r="AB139" s="114"/>
      <c r="AC139" s="56"/>
      <c r="AD139" s="115"/>
      <c r="AE139" s="116"/>
    </row>
    <row r="140" ht="15.75" customHeight="1">
      <c r="E140" s="112"/>
      <c r="F140" s="52" t="str">
        <f t="shared" si="6"/>
        <v/>
      </c>
      <c r="G140" s="52"/>
      <c r="H140" s="52"/>
      <c r="I140" s="52"/>
      <c r="J140" s="52"/>
      <c r="K140" s="52"/>
      <c r="L140" s="52"/>
      <c r="M140" s="113"/>
      <c r="N140" s="113"/>
      <c r="O140" s="113"/>
      <c r="P140" s="113"/>
      <c r="V140" s="52" t="str">
        <f t="shared" si="5"/>
        <v/>
      </c>
      <c r="W140" s="52"/>
      <c r="X140" s="52"/>
      <c r="Y140" s="52"/>
      <c r="Z140" s="52"/>
      <c r="AA140" s="52"/>
      <c r="AB140" s="114"/>
      <c r="AC140" s="56"/>
      <c r="AD140" s="115"/>
      <c r="AE140" s="116"/>
    </row>
    <row r="141" ht="15.75" customHeight="1">
      <c r="E141" s="112"/>
      <c r="F141" s="52" t="str">
        <f t="shared" si="6"/>
        <v/>
      </c>
      <c r="G141" s="52"/>
      <c r="H141" s="52"/>
      <c r="I141" s="52"/>
      <c r="J141" s="52"/>
      <c r="K141" s="52"/>
      <c r="L141" s="52"/>
      <c r="M141" s="113"/>
      <c r="N141" s="113"/>
      <c r="O141" s="113"/>
      <c r="P141" s="113"/>
      <c r="V141" s="52" t="str">
        <f t="shared" si="5"/>
        <v/>
      </c>
      <c r="W141" s="52"/>
      <c r="X141" s="52"/>
      <c r="Y141" s="52"/>
      <c r="Z141" s="52"/>
      <c r="AA141" s="52"/>
      <c r="AB141" s="114"/>
      <c r="AC141" s="56"/>
      <c r="AD141" s="115"/>
      <c r="AE141" s="116"/>
    </row>
    <row r="142" ht="15.75" customHeight="1">
      <c r="E142" s="112"/>
      <c r="F142" s="52" t="str">
        <f t="shared" si="6"/>
        <v/>
      </c>
      <c r="G142" s="52"/>
      <c r="H142" s="52"/>
      <c r="I142" s="52"/>
      <c r="J142" s="52"/>
      <c r="K142" s="52"/>
      <c r="L142" s="52"/>
      <c r="M142" s="113"/>
      <c r="N142" s="113"/>
      <c r="O142" s="113"/>
      <c r="P142" s="113"/>
      <c r="V142" s="52" t="str">
        <f t="shared" si="5"/>
        <v/>
      </c>
      <c r="W142" s="52"/>
      <c r="X142" s="52"/>
      <c r="Y142" s="52"/>
      <c r="Z142" s="52"/>
      <c r="AA142" s="52"/>
      <c r="AB142" s="114"/>
      <c r="AC142" s="56"/>
      <c r="AD142" s="115"/>
      <c r="AE142" s="116"/>
    </row>
    <row r="143" ht="15.75" customHeight="1">
      <c r="E143" s="112"/>
      <c r="F143" s="52" t="str">
        <f t="shared" si="6"/>
        <v/>
      </c>
      <c r="G143" s="52"/>
      <c r="H143" s="52"/>
      <c r="I143" s="52"/>
      <c r="J143" s="52"/>
      <c r="K143" s="52"/>
      <c r="L143" s="52"/>
      <c r="M143" s="113"/>
      <c r="N143" s="113"/>
      <c r="O143" s="113"/>
      <c r="P143" s="113"/>
      <c r="V143" s="52" t="str">
        <f t="shared" si="5"/>
        <v/>
      </c>
      <c r="W143" s="52"/>
      <c r="X143" s="52"/>
      <c r="Y143" s="52"/>
      <c r="Z143" s="52"/>
      <c r="AA143" s="52"/>
      <c r="AB143" s="114"/>
      <c r="AC143" s="56"/>
      <c r="AD143" s="115"/>
      <c r="AE143" s="116"/>
    </row>
    <row r="144" ht="15.75" customHeight="1">
      <c r="E144" s="112"/>
      <c r="F144" s="52" t="str">
        <f t="shared" si="6"/>
        <v/>
      </c>
      <c r="G144" s="52"/>
      <c r="H144" s="52"/>
      <c r="I144" s="52"/>
      <c r="J144" s="52"/>
      <c r="K144" s="52"/>
      <c r="L144" s="52"/>
      <c r="M144" s="113"/>
      <c r="N144" s="113"/>
      <c r="O144" s="113"/>
      <c r="P144" s="113"/>
      <c r="V144" s="52" t="str">
        <f t="shared" si="5"/>
        <v/>
      </c>
      <c r="W144" s="52"/>
      <c r="X144" s="52"/>
      <c r="Y144" s="52"/>
      <c r="Z144" s="52"/>
      <c r="AA144" s="52"/>
      <c r="AB144" s="114"/>
      <c r="AC144" s="56"/>
      <c r="AD144" s="115"/>
      <c r="AE144" s="116"/>
    </row>
    <row r="145" ht="15.75" customHeight="1">
      <c r="E145" s="112"/>
      <c r="F145" s="52" t="str">
        <f t="shared" si="6"/>
        <v/>
      </c>
      <c r="G145" s="52"/>
      <c r="H145" s="52"/>
      <c r="I145" s="52"/>
      <c r="J145" s="52"/>
      <c r="K145" s="52"/>
      <c r="L145" s="52"/>
      <c r="M145" s="113"/>
      <c r="N145" s="113"/>
      <c r="O145" s="113"/>
      <c r="P145" s="113"/>
      <c r="V145" s="52" t="str">
        <f t="shared" si="5"/>
        <v/>
      </c>
      <c r="W145" s="52"/>
      <c r="X145" s="52"/>
      <c r="Y145" s="52"/>
      <c r="Z145" s="52"/>
      <c r="AA145" s="52"/>
      <c r="AB145" s="114"/>
      <c r="AC145" s="56"/>
      <c r="AD145" s="115"/>
      <c r="AE145" s="116"/>
    </row>
    <row r="146" ht="15.75" customHeight="1">
      <c r="E146" s="112"/>
      <c r="F146" s="52" t="str">
        <f t="shared" si="6"/>
        <v/>
      </c>
      <c r="G146" s="52"/>
      <c r="H146" s="52"/>
      <c r="I146" s="52"/>
      <c r="J146" s="52"/>
      <c r="K146" s="52"/>
      <c r="L146" s="52"/>
      <c r="M146" s="113"/>
      <c r="N146" s="113"/>
      <c r="O146" s="113"/>
      <c r="P146" s="113"/>
      <c r="V146" s="52" t="str">
        <f t="shared" si="5"/>
        <v/>
      </c>
      <c r="W146" s="52"/>
      <c r="X146" s="52"/>
      <c r="Y146" s="52"/>
      <c r="Z146" s="52"/>
      <c r="AA146" s="52"/>
      <c r="AB146" s="114"/>
      <c r="AC146" s="56"/>
      <c r="AD146" s="115"/>
      <c r="AE146" s="116"/>
    </row>
    <row r="147" ht="15.75" customHeight="1">
      <c r="E147" s="112"/>
      <c r="F147" s="52" t="str">
        <f t="shared" si="6"/>
        <v/>
      </c>
      <c r="G147" s="52"/>
      <c r="H147" s="52"/>
      <c r="I147" s="52"/>
      <c r="J147" s="52"/>
      <c r="K147" s="52"/>
      <c r="L147" s="52"/>
      <c r="M147" s="113"/>
      <c r="N147" s="113"/>
      <c r="O147" s="113"/>
      <c r="P147" s="113"/>
      <c r="V147" s="52" t="str">
        <f t="shared" si="5"/>
        <v/>
      </c>
      <c r="W147" s="52"/>
      <c r="X147" s="52"/>
      <c r="Y147" s="52"/>
      <c r="Z147" s="52"/>
      <c r="AA147" s="52"/>
      <c r="AB147" s="114"/>
      <c r="AC147" s="56"/>
      <c r="AD147" s="115"/>
      <c r="AE147" s="116"/>
    </row>
    <row r="148" ht="15.75" customHeight="1">
      <c r="E148" s="112"/>
      <c r="F148" s="52" t="str">
        <f t="shared" si="6"/>
        <v/>
      </c>
      <c r="G148" s="52"/>
      <c r="H148" s="52"/>
      <c r="I148" s="52"/>
      <c r="J148" s="52"/>
      <c r="K148" s="52"/>
      <c r="L148" s="52"/>
      <c r="M148" s="113"/>
      <c r="N148" s="113"/>
      <c r="O148" s="113"/>
      <c r="P148" s="113"/>
      <c r="V148" s="52" t="str">
        <f t="shared" si="5"/>
        <v/>
      </c>
      <c r="W148" s="52"/>
      <c r="X148" s="52"/>
      <c r="Y148" s="52"/>
      <c r="Z148" s="52"/>
      <c r="AA148" s="52"/>
      <c r="AB148" s="114"/>
      <c r="AC148" s="56"/>
      <c r="AD148" s="115"/>
      <c r="AE148" s="116"/>
    </row>
    <row r="149" ht="15.75" customHeight="1">
      <c r="E149" s="112"/>
      <c r="F149" s="52" t="str">
        <f t="shared" si="6"/>
        <v/>
      </c>
      <c r="G149" s="52"/>
      <c r="H149" s="52"/>
      <c r="I149" s="52"/>
      <c r="J149" s="52"/>
      <c r="K149" s="52"/>
      <c r="L149" s="52"/>
      <c r="M149" s="113"/>
      <c r="N149" s="113"/>
      <c r="O149" s="113"/>
      <c r="P149" s="113"/>
      <c r="V149" s="52" t="str">
        <f t="shared" si="5"/>
        <v/>
      </c>
      <c r="W149" s="52"/>
      <c r="X149" s="52"/>
      <c r="Y149" s="52"/>
      <c r="Z149" s="52"/>
      <c r="AA149" s="52"/>
      <c r="AB149" s="114"/>
      <c r="AC149" s="56"/>
      <c r="AD149" s="115"/>
      <c r="AE149" s="116"/>
    </row>
    <row r="150" ht="15.75" customHeight="1">
      <c r="E150" s="112"/>
      <c r="F150" s="52" t="str">
        <f t="shared" si="6"/>
        <v/>
      </c>
      <c r="G150" s="52"/>
      <c r="H150" s="52"/>
      <c r="I150" s="52"/>
      <c r="J150" s="52"/>
      <c r="K150" s="52"/>
      <c r="L150" s="52"/>
      <c r="M150" s="113"/>
      <c r="N150" s="113"/>
      <c r="O150" s="113"/>
      <c r="P150" s="113"/>
      <c r="V150" s="52" t="str">
        <f t="shared" si="5"/>
        <v/>
      </c>
      <c r="W150" s="52"/>
      <c r="X150" s="52"/>
      <c r="Y150" s="52"/>
      <c r="Z150" s="52"/>
      <c r="AA150" s="52"/>
      <c r="AB150" s="114"/>
      <c r="AC150" s="56"/>
      <c r="AD150" s="115"/>
      <c r="AE150" s="116"/>
    </row>
    <row r="151" ht="15.75" customHeight="1">
      <c r="E151" s="112"/>
      <c r="F151" s="52" t="str">
        <f t="shared" si="6"/>
        <v/>
      </c>
      <c r="G151" s="52"/>
      <c r="H151" s="52"/>
      <c r="I151" s="52"/>
      <c r="J151" s="52"/>
      <c r="K151" s="52"/>
      <c r="L151" s="52"/>
      <c r="M151" s="113"/>
      <c r="N151" s="113"/>
      <c r="O151" s="113"/>
      <c r="P151" s="113"/>
      <c r="V151" s="52" t="str">
        <f t="shared" si="5"/>
        <v/>
      </c>
      <c r="W151" s="52"/>
      <c r="X151" s="52"/>
      <c r="Y151" s="52"/>
      <c r="Z151" s="52"/>
      <c r="AA151" s="52"/>
      <c r="AB151" s="114"/>
      <c r="AC151" s="56"/>
      <c r="AD151" s="115"/>
      <c r="AE151" s="116"/>
    </row>
    <row r="152" ht="15.75" customHeight="1">
      <c r="E152" s="112"/>
      <c r="F152" s="52" t="str">
        <f t="shared" si="6"/>
        <v/>
      </c>
      <c r="G152" s="52"/>
      <c r="H152" s="52"/>
      <c r="I152" s="52"/>
      <c r="J152" s="52"/>
      <c r="K152" s="52"/>
      <c r="L152" s="52"/>
      <c r="M152" s="113"/>
      <c r="N152" s="113"/>
      <c r="O152" s="113"/>
      <c r="P152" s="113"/>
      <c r="V152" s="52" t="str">
        <f t="shared" si="5"/>
        <v/>
      </c>
      <c r="W152" s="52"/>
      <c r="X152" s="52"/>
      <c r="Y152" s="52"/>
      <c r="Z152" s="52"/>
      <c r="AA152" s="52"/>
      <c r="AB152" s="114"/>
      <c r="AC152" s="56"/>
      <c r="AD152" s="115"/>
      <c r="AE152" s="116"/>
    </row>
    <row r="153" ht="15.75" customHeight="1">
      <c r="E153" s="112"/>
      <c r="F153" s="52" t="str">
        <f t="shared" si="6"/>
        <v/>
      </c>
      <c r="G153" s="52"/>
      <c r="H153" s="52"/>
      <c r="I153" s="52"/>
      <c r="J153" s="52"/>
      <c r="K153" s="52"/>
      <c r="L153" s="52"/>
      <c r="M153" s="113"/>
      <c r="N153" s="113"/>
      <c r="O153" s="113"/>
      <c r="P153" s="113"/>
      <c r="V153" s="52" t="str">
        <f t="shared" si="5"/>
        <v/>
      </c>
      <c r="W153" s="52"/>
      <c r="X153" s="52"/>
      <c r="Y153" s="52"/>
      <c r="Z153" s="52"/>
      <c r="AA153" s="52"/>
      <c r="AB153" s="114"/>
      <c r="AC153" s="56"/>
      <c r="AD153" s="115"/>
      <c r="AE153" s="116"/>
    </row>
    <row r="154" ht="15.75" customHeight="1">
      <c r="E154" s="112"/>
      <c r="F154" s="52" t="str">
        <f t="shared" si="6"/>
        <v/>
      </c>
      <c r="G154" s="52"/>
      <c r="H154" s="52"/>
      <c r="I154" s="52"/>
      <c r="J154" s="52"/>
      <c r="K154" s="52"/>
      <c r="L154" s="52"/>
      <c r="M154" s="113"/>
      <c r="N154" s="113"/>
      <c r="O154" s="113"/>
      <c r="P154" s="113"/>
      <c r="V154" s="52" t="str">
        <f t="shared" si="5"/>
        <v/>
      </c>
      <c r="W154" s="52"/>
      <c r="X154" s="52"/>
      <c r="Y154" s="52"/>
      <c r="Z154" s="52"/>
      <c r="AA154" s="52"/>
      <c r="AB154" s="114"/>
      <c r="AC154" s="56"/>
      <c r="AD154" s="115"/>
      <c r="AE154" s="116"/>
    </row>
    <row r="155" ht="15.75" customHeight="1">
      <c r="E155" s="112"/>
      <c r="F155" s="52" t="str">
        <f t="shared" si="6"/>
        <v/>
      </c>
      <c r="G155" s="52"/>
      <c r="H155" s="52"/>
      <c r="I155" s="52"/>
      <c r="J155" s="52"/>
      <c r="K155" s="52"/>
      <c r="L155" s="52"/>
      <c r="M155" s="113"/>
      <c r="N155" s="113"/>
      <c r="O155" s="113"/>
      <c r="P155" s="113"/>
      <c r="V155" s="52" t="str">
        <f t="shared" si="5"/>
        <v/>
      </c>
      <c r="W155" s="52"/>
      <c r="X155" s="52"/>
      <c r="Y155" s="52"/>
      <c r="Z155" s="52"/>
      <c r="AA155" s="52"/>
      <c r="AB155" s="114"/>
      <c r="AC155" s="56"/>
      <c r="AD155" s="115"/>
      <c r="AE155" s="116"/>
    </row>
    <row r="156" ht="15.75" customHeight="1">
      <c r="E156" s="112"/>
      <c r="F156" s="52" t="str">
        <f t="shared" si="6"/>
        <v/>
      </c>
      <c r="G156" s="52"/>
      <c r="H156" s="52"/>
      <c r="I156" s="52"/>
      <c r="J156" s="52"/>
      <c r="K156" s="52"/>
      <c r="L156" s="52"/>
      <c r="M156" s="113"/>
      <c r="N156" s="113"/>
      <c r="O156" s="113"/>
      <c r="P156" s="113"/>
      <c r="V156" s="52" t="str">
        <f t="shared" si="5"/>
        <v/>
      </c>
      <c r="W156" s="52"/>
      <c r="X156" s="52"/>
      <c r="Y156" s="52"/>
      <c r="Z156" s="52"/>
      <c r="AA156" s="52"/>
      <c r="AB156" s="114"/>
      <c r="AC156" s="56"/>
      <c r="AD156" s="115"/>
      <c r="AE156" s="116"/>
    </row>
    <row r="157" ht="15.75" customHeight="1">
      <c r="E157" s="112"/>
      <c r="F157" s="52" t="str">
        <f t="shared" si="6"/>
        <v/>
      </c>
      <c r="G157" s="52"/>
      <c r="H157" s="52"/>
      <c r="I157" s="52"/>
      <c r="J157" s="52"/>
      <c r="K157" s="52"/>
      <c r="L157" s="52"/>
      <c r="M157" s="113"/>
      <c r="N157" s="113"/>
      <c r="O157" s="113"/>
      <c r="P157" s="113"/>
      <c r="V157" s="52" t="str">
        <f t="shared" si="5"/>
        <v/>
      </c>
      <c r="W157" s="52"/>
      <c r="X157" s="52"/>
      <c r="Y157" s="52"/>
      <c r="Z157" s="52"/>
      <c r="AA157" s="52"/>
      <c r="AB157" s="114"/>
      <c r="AC157" s="56"/>
      <c r="AD157" s="115"/>
      <c r="AE157" s="116"/>
    </row>
    <row r="158" ht="15.75" customHeight="1">
      <c r="E158" s="112"/>
      <c r="F158" s="52" t="str">
        <f t="shared" si="6"/>
        <v/>
      </c>
      <c r="G158" s="52"/>
      <c r="H158" s="52"/>
      <c r="I158" s="52"/>
      <c r="J158" s="52"/>
      <c r="K158" s="52"/>
      <c r="L158" s="52"/>
      <c r="M158" s="113"/>
      <c r="N158" s="113"/>
      <c r="O158" s="113"/>
      <c r="P158" s="113"/>
      <c r="V158" s="52" t="str">
        <f t="shared" si="5"/>
        <v/>
      </c>
      <c r="W158" s="52"/>
      <c r="X158" s="52"/>
      <c r="Y158" s="52"/>
      <c r="Z158" s="52"/>
      <c r="AA158" s="52"/>
      <c r="AB158" s="114"/>
      <c r="AC158" s="56"/>
      <c r="AD158" s="115"/>
      <c r="AE158" s="116"/>
    </row>
    <row r="159" ht="15.75" customHeight="1">
      <c r="E159" s="112"/>
      <c r="F159" s="52" t="str">
        <f t="shared" si="6"/>
        <v/>
      </c>
      <c r="G159" s="52"/>
      <c r="H159" s="52"/>
      <c r="I159" s="52"/>
      <c r="J159" s="52"/>
      <c r="K159" s="52"/>
      <c r="L159" s="52"/>
      <c r="M159" s="113"/>
      <c r="N159" s="113"/>
      <c r="O159" s="113"/>
      <c r="P159" s="113"/>
      <c r="V159" s="52" t="str">
        <f t="shared" si="5"/>
        <v/>
      </c>
      <c r="W159" s="52"/>
      <c r="X159" s="52"/>
      <c r="Y159" s="52"/>
      <c r="Z159" s="52"/>
      <c r="AA159" s="52"/>
      <c r="AB159" s="114"/>
      <c r="AC159" s="56"/>
      <c r="AD159" s="115"/>
      <c r="AE159" s="116"/>
    </row>
    <row r="160" ht="15.75" customHeight="1">
      <c r="E160" s="112"/>
      <c r="F160" s="52" t="str">
        <f t="shared" si="6"/>
        <v/>
      </c>
      <c r="G160" s="52"/>
      <c r="H160" s="52"/>
      <c r="I160" s="52"/>
      <c r="J160" s="52"/>
      <c r="K160" s="52"/>
      <c r="L160" s="52"/>
      <c r="M160" s="113"/>
      <c r="N160" s="113"/>
      <c r="O160" s="113"/>
      <c r="P160" s="113"/>
      <c r="V160" s="52" t="str">
        <f t="shared" si="5"/>
        <v/>
      </c>
      <c r="W160" s="52"/>
      <c r="X160" s="52"/>
      <c r="Y160" s="52"/>
      <c r="Z160" s="52"/>
      <c r="AA160" s="52"/>
      <c r="AB160" s="114"/>
      <c r="AC160" s="56"/>
      <c r="AD160" s="115"/>
      <c r="AE160" s="116"/>
    </row>
    <row r="161" ht="15.75" customHeight="1">
      <c r="E161" s="112"/>
      <c r="F161" s="52" t="str">
        <f t="shared" si="6"/>
        <v/>
      </c>
      <c r="G161" s="52"/>
      <c r="H161" s="52"/>
      <c r="I161" s="52"/>
      <c r="J161" s="52"/>
      <c r="K161" s="52"/>
      <c r="L161" s="52"/>
      <c r="M161" s="113"/>
      <c r="N161" s="113"/>
      <c r="O161" s="113"/>
      <c r="P161" s="113"/>
      <c r="V161" s="52" t="str">
        <f t="shared" si="5"/>
        <v/>
      </c>
      <c r="W161" s="52"/>
      <c r="X161" s="52"/>
      <c r="Y161" s="52"/>
      <c r="Z161" s="52"/>
      <c r="AA161" s="52"/>
      <c r="AB161" s="114"/>
      <c r="AC161" s="56"/>
      <c r="AD161" s="115"/>
      <c r="AE161" s="116"/>
    </row>
    <row r="162" ht="15.75" customHeight="1">
      <c r="E162" s="112"/>
      <c r="F162" s="52" t="str">
        <f t="shared" si="6"/>
        <v/>
      </c>
      <c r="G162" s="52"/>
      <c r="H162" s="52"/>
      <c r="I162" s="52"/>
      <c r="J162" s="52"/>
      <c r="K162" s="52"/>
      <c r="L162" s="52"/>
      <c r="M162" s="113"/>
      <c r="N162" s="113"/>
      <c r="O162" s="113"/>
      <c r="P162" s="113"/>
      <c r="V162" s="52" t="str">
        <f t="shared" si="5"/>
        <v/>
      </c>
      <c r="W162" s="52"/>
      <c r="X162" s="52"/>
      <c r="Y162" s="52"/>
      <c r="Z162" s="52"/>
      <c r="AA162" s="52"/>
      <c r="AB162" s="114"/>
      <c r="AC162" s="56"/>
      <c r="AD162" s="115"/>
      <c r="AE162" s="116"/>
    </row>
    <row r="163" ht="15.75" customHeight="1">
      <c r="E163" s="112"/>
      <c r="F163" s="52" t="str">
        <f t="shared" si="6"/>
        <v/>
      </c>
      <c r="G163" s="52"/>
      <c r="H163" s="52"/>
      <c r="I163" s="52"/>
      <c r="J163" s="52"/>
      <c r="K163" s="52"/>
      <c r="L163" s="52"/>
      <c r="M163" s="113"/>
      <c r="N163" s="113"/>
      <c r="O163" s="113"/>
      <c r="P163" s="113"/>
      <c r="V163" s="52" t="str">
        <f t="shared" si="5"/>
        <v/>
      </c>
      <c r="W163" s="52"/>
      <c r="X163" s="52"/>
      <c r="Y163" s="52"/>
      <c r="Z163" s="52"/>
      <c r="AA163" s="52"/>
      <c r="AB163" s="114"/>
      <c r="AC163" s="56"/>
      <c r="AD163" s="115"/>
      <c r="AE163" s="116"/>
    </row>
    <row r="164" ht="15.75" customHeight="1">
      <c r="E164" s="112"/>
      <c r="F164" s="52" t="str">
        <f t="shared" si="6"/>
        <v/>
      </c>
      <c r="G164" s="52"/>
      <c r="H164" s="52"/>
      <c r="I164" s="52"/>
      <c r="J164" s="52"/>
      <c r="K164" s="52"/>
      <c r="L164" s="52"/>
      <c r="M164" s="113"/>
      <c r="N164" s="113"/>
      <c r="O164" s="113"/>
      <c r="P164" s="113"/>
      <c r="V164" s="52" t="str">
        <f t="shared" si="5"/>
        <v/>
      </c>
      <c r="W164" s="52"/>
      <c r="X164" s="52"/>
      <c r="Y164" s="52"/>
      <c r="Z164" s="52"/>
      <c r="AA164" s="52"/>
      <c r="AB164" s="114"/>
      <c r="AC164" s="56"/>
      <c r="AD164" s="115"/>
      <c r="AE164" s="116"/>
    </row>
    <row r="165" ht="15.75" customHeight="1">
      <c r="E165" s="112"/>
      <c r="F165" s="52" t="str">
        <f t="shared" si="6"/>
        <v/>
      </c>
      <c r="G165" s="52"/>
      <c r="H165" s="52"/>
      <c r="I165" s="52"/>
      <c r="J165" s="52"/>
      <c r="K165" s="52"/>
      <c r="L165" s="52"/>
      <c r="M165" s="113"/>
      <c r="N165" s="113"/>
      <c r="O165" s="113"/>
      <c r="P165" s="113"/>
      <c r="V165" s="52" t="str">
        <f t="shared" si="5"/>
        <v/>
      </c>
      <c r="W165" s="52"/>
      <c r="X165" s="52"/>
      <c r="Y165" s="52"/>
      <c r="Z165" s="52"/>
      <c r="AA165" s="52"/>
      <c r="AB165" s="114"/>
      <c r="AC165" s="56"/>
      <c r="AD165" s="115"/>
      <c r="AE165" s="116"/>
    </row>
    <row r="166" ht="15.75" customHeight="1">
      <c r="E166" s="112"/>
      <c r="F166" s="52" t="str">
        <f t="shared" si="6"/>
        <v/>
      </c>
      <c r="G166" s="52"/>
      <c r="H166" s="52"/>
      <c r="I166" s="52"/>
      <c r="J166" s="52"/>
      <c r="K166" s="52"/>
      <c r="L166" s="52"/>
      <c r="M166" s="113"/>
      <c r="N166" s="113"/>
      <c r="O166" s="113"/>
      <c r="P166" s="113"/>
      <c r="V166" s="52" t="str">
        <f t="shared" si="5"/>
        <v/>
      </c>
      <c r="W166" s="52"/>
      <c r="X166" s="52"/>
      <c r="Y166" s="52"/>
      <c r="Z166" s="52"/>
      <c r="AA166" s="52"/>
      <c r="AB166" s="114"/>
      <c r="AC166" s="56"/>
      <c r="AD166" s="115"/>
      <c r="AE166" s="116"/>
    </row>
    <row r="167" ht="15.75" customHeight="1">
      <c r="E167" s="112"/>
      <c r="F167" s="52" t="str">
        <f t="shared" si="6"/>
        <v/>
      </c>
      <c r="G167" s="52"/>
      <c r="H167" s="52"/>
      <c r="I167" s="52"/>
      <c r="J167" s="52"/>
      <c r="K167" s="52"/>
      <c r="L167" s="52"/>
      <c r="M167" s="113"/>
      <c r="N167" s="113"/>
      <c r="O167" s="113"/>
      <c r="P167" s="113"/>
      <c r="V167" s="52" t="str">
        <f t="shared" si="5"/>
        <v/>
      </c>
      <c r="W167" s="52"/>
      <c r="X167" s="52"/>
      <c r="Y167" s="52"/>
      <c r="Z167" s="52"/>
      <c r="AA167" s="52"/>
      <c r="AB167" s="114"/>
      <c r="AC167" s="56"/>
      <c r="AD167" s="115"/>
      <c r="AE167" s="116"/>
    </row>
    <row r="168" ht="15.75" customHeight="1">
      <c r="E168" s="112"/>
      <c r="F168" s="52" t="str">
        <f t="shared" si="6"/>
        <v/>
      </c>
      <c r="G168" s="52"/>
      <c r="H168" s="52"/>
      <c r="I168" s="52"/>
      <c r="J168" s="52"/>
      <c r="K168" s="52"/>
      <c r="L168" s="52"/>
      <c r="M168" s="113"/>
      <c r="N168" s="113"/>
      <c r="O168" s="113"/>
      <c r="P168" s="113"/>
      <c r="V168" s="52" t="str">
        <f t="shared" si="5"/>
        <v/>
      </c>
      <c r="W168" s="52"/>
      <c r="X168" s="52"/>
      <c r="Y168" s="52"/>
      <c r="Z168" s="52"/>
      <c r="AA168" s="52"/>
      <c r="AB168" s="114"/>
      <c r="AC168" s="56"/>
      <c r="AD168" s="115"/>
      <c r="AE168" s="116"/>
    </row>
    <row r="169" ht="15.75" customHeight="1">
      <c r="E169" s="112"/>
      <c r="F169" s="52" t="str">
        <f t="shared" si="6"/>
        <v/>
      </c>
      <c r="G169" s="52"/>
      <c r="H169" s="52"/>
      <c r="I169" s="52"/>
      <c r="J169" s="52"/>
      <c r="K169" s="52"/>
      <c r="L169" s="52"/>
      <c r="M169" s="113"/>
      <c r="N169" s="113"/>
      <c r="O169" s="113"/>
      <c r="P169" s="113"/>
      <c r="V169" s="52" t="str">
        <f t="shared" si="5"/>
        <v/>
      </c>
      <c r="W169" s="52"/>
      <c r="X169" s="52"/>
      <c r="Y169" s="52"/>
      <c r="Z169" s="52"/>
      <c r="AA169" s="52"/>
      <c r="AB169" s="114"/>
      <c r="AC169" s="56"/>
      <c r="AD169" s="115"/>
      <c r="AE169" s="116"/>
    </row>
    <row r="170" ht="15.75" customHeight="1">
      <c r="E170" s="112"/>
      <c r="F170" s="52" t="str">
        <f t="shared" si="6"/>
        <v/>
      </c>
      <c r="G170" s="52"/>
      <c r="H170" s="52"/>
      <c r="I170" s="52"/>
      <c r="J170" s="52"/>
      <c r="K170" s="52"/>
      <c r="L170" s="52"/>
      <c r="M170" s="113"/>
      <c r="N170" s="113"/>
      <c r="O170" s="113"/>
      <c r="P170" s="113"/>
      <c r="V170" s="52" t="str">
        <f t="shared" si="5"/>
        <v/>
      </c>
      <c r="W170" s="52"/>
      <c r="X170" s="52"/>
      <c r="Y170" s="52"/>
      <c r="Z170" s="52"/>
      <c r="AA170" s="52"/>
      <c r="AB170" s="114"/>
      <c r="AC170" s="56"/>
      <c r="AD170" s="115"/>
      <c r="AE170" s="116"/>
    </row>
    <row r="171" ht="15.75" customHeight="1">
      <c r="E171" s="112"/>
      <c r="F171" s="52" t="str">
        <f t="shared" si="6"/>
        <v/>
      </c>
      <c r="G171" s="52"/>
      <c r="H171" s="52"/>
      <c r="I171" s="52"/>
      <c r="J171" s="52"/>
      <c r="K171" s="52"/>
      <c r="L171" s="52"/>
      <c r="M171" s="113"/>
      <c r="N171" s="113"/>
      <c r="O171" s="113"/>
      <c r="P171" s="113"/>
      <c r="V171" s="52" t="str">
        <f t="shared" si="5"/>
        <v/>
      </c>
      <c r="W171" s="52"/>
      <c r="X171" s="52"/>
      <c r="Y171" s="52"/>
      <c r="Z171" s="52"/>
      <c r="AA171" s="52"/>
      <c r="AB171" s="114"/>
      <c r="AC171" s="56"/>
      <c r="AD171" s="115"/>
      <c r="AE171" s="116"/>
    </row>
    <row r="172" ht="15.75" customHeight="1">
      <c r="E172" s="112"/>
      <c r="F172" s="52" t="str">
        <f t="shared" si="6"/>
        <v/>
      </c>
      <c r="G172" s="52"/>
      <c r="H172" s="52"/>
      <c r="I172" s="52"/>
      <c r="J172" s="52"/>
      <c r="K172" s="52"/>
      <c r="L172" s="52"/>
      <c r="M172" s="113"/>
      <c r="N172" s="113"/>
      <c r="O172" s="113"/>
      <c r="P172" s="113"/>
      <c r="V172" s="52" t="str">
        <f t="shared" si="5"/>
        <v/>
      </c>
      <c r="W172" s="52"/>
      <c r="X172" s="52"/>
      <c r="Y172" s="52"/>
      <c r="Z172" s="52"/>
      <c r="AA172" s="52"/>
      <c r="AB172" s="114"/>
      <c r="AC172" s="56"/>
      <c r="AD172" s="115"/>
      <c r="AE172" s="116"/>
    </row>
    <row r="173" ht="15.75" customHeight="1">
      <c r="E173" s="112"/>
      <c r="F173" s="52" t="str">
        <f t="shared" si="6"/>
        <v/>
      </c>
      <c r="G173" s="52"/>
      <c r="H173" s="52"/>
      <c r="I173" s="52"/>
      <c r="J173" s="52"/>
      <c r="K173" s="52"/>
      <c r="L173" s="52"/>
      <c r="M173" s="113"/>
      <c r="N173" s="113"/>
      <c r="O173" s="113"/>
      <c r="P173" s="113"/>
      <c r="V173" s="52" t="str">
        <f t="shared" si="5"/>
        <v/>
      </c>
      <c r="W173" s="52"/>
      <c r="X173" s="52"/>
      <c r="Y173" s="52"/>
      <c r="Z173" s="52"/>
      <c r="AA173" s="52"/>
      <c r="AB173" s="114"/>
      <c r="AC173" s="56"/>
      <c r="AD173" s="115"/>
      <c r="AE173" s="116"/>
    </row>
    <row r="174" ht="15.75" customHeight="1">
      <c r="E174" s="112"/>
      <c r="F174" s="52" t="str">
        <f t="shared" si="6"/>
        <v/>
      </c>
      <c r="G174" s="52"/>
      <c r="H174" s="52"/>
      <c r="I174" s="52"/>
      <c r="J174" s="52"/>
      <c r="K174" s="52"/>
      <c r="L174" s="52"/>
      <c r="M174" s="113"/>
      <c r="N174" s="113"/>
      <c r="O174" s="113"/>
      <c r="P174" s="113"/>
      <c r="V174" s="52" t="str">
        <f t="shared" si="5"/>
        <v/>
      </c>
      <c r="W174" s="52"/>
      <c r="X174" s="52"/>
      <c r="Y174" s="52"/>
      <c r="Z174" s="52"/>
      <c r="AA174" s="52"/>
      <c r="AB174" s="114"/>
      <c r="AC174" s="56"/>
      <c r="AD174" s="115"/>
      <c r="AE174" s="116"/>
    </row>
    <row r="175" ht="15.75" customHeight="1">
      <c r="E175" s="112"/>
      <c r="F175" s="52" t="str">
        <f t="shared" si="6"/>
        <v/>
      </c>
      <c r="G175" s="52"/>
      <c r="H175" s="52"/>
      <c r="I175" s="52"/>
      <c r="J175" s="52"/>
      <c r="K175" s="52"/>
      <c r="L175" s="52"/>
      <c r="M175" s="113"/>
      <c r="N175" s="113"/>
      <c r="O175" s="113"/>
      <c r="P175" s="113"/>
      <c r="V175" s="52" t="str">
        <f t="shared" si="5"/>
        <v/>
      </c>
      <c r="W175" s="52"/>
      <c r="X175" s="52"/>
      <c r="Y175" s="52"/>
      <c r="Z175" s="52"/>
      <c r="AA175" s="52"/>
      <c r="AB175" s="114"/>
      <c r="AC175" s="56"/>
      <c r="AD175" s="115"/>
      <c r="AE175" s="116"/>
    </row>
    <row r="176" ht="15.75" customHeight="1">
      <c r="E176" s="112"/>
      <c r="F176" s="52" t="str">
        <f t="shared" si="6"/>
        <v/>
      </c>
      <c r="G176" s="52"/>
      <c r="H176" s="52"/>
      <c r="I176" s="52"/>
      <c r="J176" s="52"/>
      <c r="K176" s="52"/>
      <c r="L176" s="52"/>
      <c r="M176" s="113"/>
      <c r="N176" s="113"/>
      <c r="O176" s="113"/>
      <c r="P176" s="113"/>
      <c r="V176" s="52" t="str">
        <f t="shared" si="5"/>
        <v/>
      </c>
      <c r="W176" s="52"/>
      <c r="X176" s="52"/>
      <c r="Y176" s="52"/>
      <c r="Z176" s="52"/>
      <c r="AA176" s="52"/>
      <c r="AB176" s="114"/>
      <c r="AC176" s="56"/>
      <c r="AD176" s="115"/>
      <c r="AE176" s="116"/>
    </row>
    <row r="177" ht="15.75" customHeight="1">
      <c r="E177" s="112"/>
      <c r="F177" s="52" t="str">
        <f t="shared" si="6"/>
        <v/>
      </c>
      <c r="G177" s="52"/>
      <c r="H177" s="52"/>
      <c r="I177" s="52"/>
      <c r="J177" s="52"/>
      <c r="K177" s="52"/>
      <c r="L177" s="52"/>
      <c r="M177" s="113"/>
      <c r="N177" s="113"/>
      <c r="O177" s="113"/>
      <c r="P177" s="113"/>
      <c r="V177" s="52" t="str">
        <f t="shared" si="5"/>
        <v/>
      </c>
      <c r="W177" s="52"/>
      <c r="X177" s="52"/>
      <c r="Y177" s="52"/>
      <c r="Z177" s="52"/>
      <c r="AA177" s="52"/>
      <c r="AB177" s="114"/>
      <c r="AC177" s="56"/>
      <c r="AD177" s="115"/>
      <c r="AE177" s="116"/>
    </row>
    <row r="178" ht="15.75" customHeight="1">
      <c r="E178" s="112"/>
      <c r="F178" s="52" t="str">
        <f t="shared" si="6"/>
        <v/>
      </c>
      <c r="G178" s="52"/>
      <c r="H178" s="52"/>
      <c r="I178" s="52"/>
      <c r="J178" s="52"/>
      <c r="K178" s="52"/>
      <c r="L178" s="52"/>
      <c r="M178" s="113"/>
      <c r="N178" s="113"/>
      <c r="O178" s="113"/>
      <c r="P178" s="113"/>
      <c r="V178" s="52" t="str">
        <f t="shared" si="5"/>
        <v/>
      </c>
      <c r="W178" s="52"/>
      <c r="X178" s="52"/>
      <c r="Y178" s="52"/>
      <c r="Z178" s="52"/>
      <c r="AA178" s="52"/>
      <c r="AB178" s="114"/>
      <c r="AC178" s="56"/>
      <c r="AD178" s="115"/>
      <c r="AE178" s="116"/>
    </row>
    <row r="179" ht="15.75" customHeight="1">
      <c r="E179" s="112"/>
      <c r="F179" s="52" t="str">
        <f t="shared" si="6"/>
        <v/>
      </c>
      <c r="G179" s="52"/>
      <c r="H179" s="52"/>
      <c r="I179" s="52"/>
      <c r="J179" s="52"/>
      <c r="K179" s="52"/>
      <c r="L179" s="52"/>
      <c r="M179" s="113"/>
      <c r="N179" s="113"/>
      <c r="O179" s="113"/>
      <c r="P179" s="113"/>
      <c r="V179" s="52" t="str">
        <f t="shared" si="5"/>
        <v/>
      </c>
      <c r="W179" s="52"/>
      <c r="X179" s="52"/>
      <c r="Y179" s="52"/>
      <c r="Z179" s="52"/>
      <c r="AA179" s="52"/>
      <c r="AB179" s="114"/>
      <c r="AC179" s="56"/>
      <c r="AD179" s="115"/>
      <c r="AE179" s="116"/>
    </row>
    <row r="180" ht="15.75" customHeight="1">
      <c r="E180" s="112"/>
      <c r="F180" s="52" t="str">
        <f t="shared" si="6"/>
        <v/>
      </c>
      <c r="G180" s="52"/>
      <c r="H180" s="52"/>
      <c r="I180" s="52"/>
      <c r="J180" s="52"/>
      <c r="K180" s="52"/>
      <c r="L180" s="52"/>
      <c r="M180" s="113"/>
      <c r="N180" s="113"/>
      <c r="O180" s="113"/>
      <c r="P180" s="113"/>
      <c r="V180" s="52" t="str">
        <f t="shared" si="5"/>
        <v/>
      </c>
      <c r="W180" s="52"/>
      <c r="X180" s="52"/>
      <c r="Y180" s="52"/>
      <c r="Z180" s="52"/>
      <c r="AA180" s="52"/>
      <c r="AB180" s="114"/>
      <c r="AC180" s="56"/>
      <c r="AD180" s="115"/>
      <c r="AE180" s="116"/>
    </row>
    <row r="181" ht="15.75" customHeight="1">
      <c r="E181" s="112"/>
      <c r="F181" s="52" t="str">
        <f t="shared" si="6"/>
        <v/>
      </c>
      <c r="G181" s="52"/>
      <c r="H181" s="52"/>
      <c r="I181" s="52"/>
      <c r="J181" s="52"/>
      <c r="K181" s="52"/>
      <c r="L181" s="52"/>
      <c r="M181" s="113"/>
      <c r="N181" s="113"/>
      <c r="O181" s="113"/>
      <c r="P181" s="113"/>
      <c r="V181" s="52" t="str">
        <f t="shared" si="5"/>
        <v/>
      </c>
      <c r="W181" s="52"/>
      <c r="X181" s="52"/>
      <c r="Y181" s="52"/>
      <c r="Z181" s="52"/>
      <c r="AA181" s="52"/>
      <c r="AB181" s="114"/>
      <c r="AC181" s="56"/>
      <c r="AD181" s="115"/>
      <c r="AE181" s="116"/>
    </row>
    <row r="182" ht="15.75" customHeight="1">
      <c r="E182" s="112"/>
      <c r="F182" s="52" t="str">
        <f t="shared" si="6"/>
        <v/>
      </c>
      <c r="G182" s="52"/>
      <c r="H182" s="52"/>
      <c r="I182" s="52"/>
      <c r="J182" s="52"/>
      <c r="K182" s="52"/>
      <c r="L182" s="52"/>
      <c r="M182" s="113"/>
      <c r="N182" s="113"/>
      <c r="O182" s="113"/>
      <c r="P182" s="113"/>
      <c r="V182" s="52" t="str">
        <f t="shared" si="5"/>
        <v/>
      </c>
      <c r="W182" s="52"/>
      <c r="X182" s="52"/>
      <c r="Y182" s="52"/>
      <c r="Z182" s="52"/>
      <c r="AA182" s="52"/>
      <c r="AB182" s="114"/>
      <c r="AC182" s="56"/>
      <c r="AD182" s="115"/>
      <c r="AE182" s="116"/>
    </row>
    <row r="183" ht="15.75" customHeight="1">
      <c r="E183" s="112"/>
      <c r="F183" s="52" t="str">
        <f t="shared" si="6"/>
        <v/>
      </c>
      <c r="G183" s="52"/>
      <c r="H183" s="52"/>
      <c r="I183" s="52"/>
      <c r="J183" s="52"/>
      <c r="K183" s="52"/>
      <c r="L183" s="52"/>
      <c r="M183" s="113"/>
      <c r="N183" s="113"/>
      <c r="O183" s="113"/>
      <c r="P183" s="113"/>
      <c r="V183" s="52" t="str">
        <f t="shared" si="5"/>
        <v/>
      </c>
      <c r="W183" s="52"/>
      <c r="X183" s="52"/>
      <c r="Y183" s="52"/>
      <c r="Z183" s="52"/>
      <c r="AA183" s="52"/>
      <c r="AB183" s="114"/>
      <c r="AC183" s="56"/>
      <c r="AD183" s="115"/>
      <c r="AE183" s="116"/>
    </row>
    <row r="184" ht="15.75" customHeight="1">
      <c r="E184" s="112"/>
      <c r="F184" s="52" t="str">
        <f t="shared" si="6"/>
        <v/>
      </c>
      <c r="G184" s="52"/>
      <c r="H184" s="52"/>
      <c r="I184" s="52"/>
      <c r="J184" s="52"/>
      <c r="K184" s="52"/>
      <c r="L184" s="52"/>
      <c r="M184" s="113"/>
      <c r="N184" s="113"/>
      <c r="O184" s="113"/>
      <c r="P184" s="113"/>
      <c r="V184" s="52" t="str">
        <f t="shared" si="5"/>
        <v/>
      </c>
      <c r="W184" s="52"/>
      <c r="X184" s="52"/>
      <c r="Y184" s="52"/>
      <c r="Z184" s="52"/>
      <c r="AA184" s="52"/>
      <c r="AB184" s="114"/>
      <c r="AC184" s="56"/>
      <c r="AD184" s="115"/>
      <c r="AE184" s="116"/>
    </row>
    <row r="185" ht="15.75" customHeight="1">
      <c r="E185" s="112"/>
      <c r="F185" s="52" t="str">
        <f t="shared" si="6"/>
        <v/>
      </c>
      <c r="G185" s="52"/>
      <c r="H185" s="52"/>
      <c r="I185" s="52"/>
      <c r="J185" s="52"/>
      <c r="K185" s="52"/>
      <c r="L185" s="52"/>
      <c r="M185" s="113"/>
      <c r="N185" s="113"/>
      <c r="O185" s="113"/>
      <c r="P185" s="113"/>
      <c r="V185" s="52" t="str">
        <f t="shared" si="5"/>
        <v/>
      </c>
      <c r="W185" s="52"/>
      <c r="X185" s="52"/>
      <c r="Y185" s="52"/>
      <c r="Z185" s="52"/>
      <c r="AA185" s="52"/>
      <c r="AB185" s="114"/>
      <c r="AC185" s="56"/>
      <c r="AD185" s="115"/>
      <c r="AE185" s="116"/>
    </row>
    <row r="186" ht="15.75" customHeight="1">
      <c r="E186" s="112"/>
      <c r="F186" s="52" t="str">
        <f t="shared" si="6"/>
        <v/>
      </c>
      <c r="G186" s="52"/>
      <c r="H186" s="52"/>
      <c r="I186" s="52"/>
      <c r="J186" s="52"/>
      <c r="K186" s="52"/>
      <c r="L186" s="52"/>
      <c r="M186" s="113"/>
      <c r="N186" s="113"/>
      <c r="O186" s="113"/>
      <c r="P186" s="113"/>
      <c r="V186" s="52" t="str">
        <f t="shared" si="5"/>
        <v/>
      </c>
      <c r="W186" s="52"/>
      <c r="X186" s="52"/>
      <c r="Y186" s="52"/>
      <c r="Z186" s="52"/>
      <c r="AA186" s="52"/>
      <c r="AB186" s="114"/>
      <c r="AC186" s="56"/>
      <c r="AD186" s="115"/>
      <c r="AE186" s="116"/>
    </row>
    <row r="187" ht="15.75" customHeight="1">
      <c r="E187" s="112"/>
      <c r="F187" s="52" t="str">
        <f t="shared" si="6"/>
        <v/>
      </c>
      <c r="G187" s="52"/>
      <c r="H187" s="52"/>
      <c r="I187" s="52"/>
      <c r="J187" s="52"/>
      <c r="K187" s="52"/>
      <c r="L187" s="52"/>
      <c r="M187" s="113"/>
      <c r="N187" s="113"/>
      <c r="O187" s="113"/>
      <c r="P187" s="113"/>
      <c r="V187" s="52" t="str">
        <f t="shared" si="5"/>
        <v/>
      </c>
      <c r="W187" s="52"/>
      <c r="X187" s="52"/>
      <c r="Y187" s="52"/>
      <c r="Z187" s="52"/>
      <c r="AA187" s="52"/>
      <c r="AB187" s="114"/>
      <c r="AC187" s="56"/>
      <c r="AD187" s="115"/>
      <c r="AE187" s="116"/>
    </row>
    <row r="188" ht="15.75" customHeight="1">
      <c r="E188" s="112"/>
      <c r="F188" s="52" t="str">
        <f t="shared" si="6"/>
        <v/>
      </c>
      <c r="G188" s="52"/>
      <c r="H188" s="52"/>
      <c r="I188" s="52"/>
      <c r="J188" s="52"/>
      <c r="K188" s="52"/>
      <c r="L188" s="52"/>
      <c r="M188" s="113"/>
      <c r="N188" s="113"/>
      <c r="O188" s="113"/>
      <c r="P188" s="113"/>
      <c r="V188" s="52" t="str">
        <f t="shared" si="5"/>
        <v/>
      </c>
      <c r="W188" s="52"/>
      <c r="X188" s="52"/>
      <c r="Y188" s="52"/>
      <c r="Z188" s="52"/>
      <c r="AA188" s="52"/>
      <c r="AB188" s="114"/>
      <c r="AC188" s="56"/>
      <c r="AD188" s="115"/>
      <c r="AE188" s="116"/>
    </row>
    <row r="189" ht="15.75" customHeight="1">
      <c r="E189" s="112"/>
      <c r="F189" s="52" t="str">
        <f t="shared" si="6"/>
        <v/>
      </c>
      <c r="G189" s="52"/>
      <c r="H189" s="52"/>
      <c r="I189" s="52"/>
      <c r="J189" s="52"/>
      <c r="K189" s="52"/>
      <c r="L189" s="52"/>
      <c r="M189" s="113"/>
      <c r="N189" s="113"/>
      <c r="O189" s="113"/>
      <c r="P189" s="113"/>
      <c r="V189" s="52" t="str">
        <f t="shared" si="5"/>
        <v/>
      </c>
      <c r="W189" s="52"/>
      <c r="X189" s="52"/>
      <c r="Y189" s="52"/>
      <c r="Z189" s="52"/>
      <c r="AA189" s="52"/>
      <c r="AB189" s="114"/>
      <c r="AC189" s="56"/>
      <c r="AD189" s="115"/>
      <c r="AE189" s="116"/>
    </row>
    <row r="190" ht="15.75" customHeight="1">
      <c r="E190" s="112"/>
      <c r="F190" s="52" t="str">
        <f t="shared" si="6"/>
        <v/>
      </c>
      <c r="G190" s="52"/>
      <c r="H190" s="52"/>
      <c r="I190" s="52"/>
      <c r="J190" s="52"/>
      <c r="K190" s="52"/>
      <c r="L190" s="52"/>
      <c r="M190" s="113"/>
      <c r="N190" s="113"/>
      <c r="O190" s="113"/>
      <c r="P190" s="113"/>
      <c r="V190" s="52" t="str">
        <f t="shared" si="5"/>
        <v/>
      </c>
      <c r="W190" s="52"/>
      <c r="X190" s="52"/>
      <c r="Y190" s="52"/>
      <c r="Z190" s="52"/>
      <c r="AA190" s="52"/>
      <c r="AB190" s="114"/>
      <c r="AC190" s="56"/>
      <c r="AD190" s="115"/>
      <c r="AE190" s="116"/>
    </row>
    <row r="191" ht="15.75" customHeight="1">
      <c r="E191" s="112"/>
      <c r="F191" s="52" t="str">
        <f t="shared" si="6"/>
        <v/>
      </c>
      <c r="G191" s="52"/>
      <c r="H191" s="52"/>
      <c r="I191" s="52"/>
      <c r="J191" s="52"/>
      <c r="K191" s="52"/>
      <c r="L191" s="52"/>
      <c r="M191" s="113"/>
      <c r="N191" s="113"/>
      <c r="O191" s="113"/>
      <c r="P191" s="113"/>
      <c r="V191" s="52" t="str">
        <f t="shared" si="5"/>
        <v/>
      </c>
      <c r="W191" s="52"/>
      <c r="X191" s="52"/>
      <c r="Y191" s="52"/>
      <c r="Z191" s="52"/>
      <c r="AA191" s="52"/>
      <c r="AB191" s="114"/>
      <c r="AC191" s="56"/>
      <c r="AD191" s="115"/>
      <c r="AE191" s="116"/>
    </row>
    <row r="192" ht="15.75" customHeight="1">
      <c r="E192" s="112"/>
      <c r="F192" s="52" t="str">
        <f t="shared" si="6"/>
        <v/>
      </c>
      <c r="G192" s="52"/>
      <c r="H192" s="52"/>
      <c r="I192" s="52"/>
      <c r="J192" s="52"/>
      <c r="K192" s="52"/>
      <c r="L192" s="52"/>
      <c r="M192" s="113"/>
      <c r="N192" s="113"/>
      <c r="O192" s="113"/>
      <c r="P192" s="113"/>
      <c r="V192" s="52" t="str">
        <f t="shared" si="5"/>
        <v/>
      </c>
      <c r="W192" s="52"/>
      <c r="X192" s="52"/>
      <c r="Y192" s="52"/>
      <c r="Z192" s="52"/>
      <c r="AA192" s="52"/>
      <c r="AB192" s="114"/>
      <c r="AC192" s="56"/>
      <c r="AD192" s="115"/>
      <c r="AE192" s="116"/>
    </row>
    <row r="193" ht="15.75" customHeight="1">
      <c r="E193" s="112"/>
      <c r="F193" s="52" t="str">
        <f t="shared" si="6"/>
        <v/>
      </c>
      <c r="G193" s="52"/>
      <c r="H193" s="52"/>
      <c r="I193" s="52"/>
      <c r="J193" s="52"/>
      <c r="K193" s="52"/>
      <c r="L193" s="52"/>
      <c r="M193" s="113"/>
      <c r="N193" s="113"/>
      <c r="O193" s="113"/>
      <c r="P193" s="113"/>
      <c r="V193" s="52" t="str">
        <f t="shared" si="5"/>
        <v/>
      </c>
      <c r="W193" s="52"/>
      <c r="X193" s="52"/>
      <c r="Y193" s="52"/>
      <c r="Z193" s="52"/>
      <c r="AA193" s="52"/>
      <c r="AB193" s="114"/>
      <c r="AC193" s="56"/>
      <c r="AD193" s="115"/>
      <c r="AE193" s="116"/>
    </row>
    <row r="194" ht="15.75" customHeight="1">
      <c r="E194" s="112"/>
      <c r="F194" s="52" t="str">
        <f t="shared" si="6"/>
        <v/>
      </c>
      <c r="G194" s="52"/>
      <c r="H194" s="52"/>
      <c r="I194" s="52"/>
      <c r="J194" s="52"/>
      <c r="K194" s="52"/>
      <c r="L194" s="52"/>
      <c r="M194" s="113"/>
      <c r="N194" s="113"/>
      <c r="O194" s="113"/>
      <c r="P194" s="113"/>
      <c r="V194" s="52" t="str">
        <f t="shared" si="5"/>
        <v/>
      </c>
      <c r="W194" s="52"/>
      <c r="X194" s="52"/>
      <c r="Y194" s="52"/>
      <c r="Z194" s="52"/>
      <c r="AA194" s="52"/>
      <c r="AB194" s="114"/>
      <c r="AC194" s="56"/>
      <c r="AD194" s="115"/>
      <c r="AE194" s="116"/>
    </row>
    <row r="195" ht="15.75" customHeight="1">
      <c r="E195" s="112"/>
      <c r="F195" s="52" t="str">
        <f t="shared" si="6"/>
        <v/>
      </c>
      <c r="G195" s="52"/>
      <c r="H195" s="52"/>
      <c r="I195" s="52"/>
      <c r="J195" s="52"/>
      <c r="K195" s="52"/>
      <c r="L195" s="52"/>
      <c r="M195" s="113"/>
      <c r="N195" s="113"/>
      <c r="O195" s="113"/>
      <c r="P195" s="113"/>
      <c r="V195" s="52" t="str">
        <f t="shared" si="5"/>
        <v/>
      </c>
      <c r="W195" s="52"/>
      <c r="X195" s="52"/>
      <c r="Y195" s="52"/>
      <c r="Z195" s="52"/>
      <c r="AA195" s="52"/>
      <c r="AB195" s="114"/>
      <c r="AC195" s="56"/>
      <c r="AD195" s="115"/>
      <c r="AE195" s="116"/>
    </row>
    <row r="196" ht="15.75" customHeight="1">
      <c r="E196" s="112"/>
      <c r="F196" s="52" t="str">
        <f t="shared" si="6"/>
        <v/>
      </c>
      <c r="G196" s="52"/>
      <c r="H196" s="52"/>
      <c r="I196" s="52"/>
      <c r="J196" s="52"/>
      <c r="K196" s="52"/>
      <c r="L196" s="52"/>
      <c r="M196" s="113"/>
      <c r="N196" s="113"/>
      <c r="O196" s="113"/>
      <c r="P196" s="113"/>
      <c r="V196" s="52" t="str">
        <f t="shared" si="5"/>
        <v/>
      </c>
      <c r="W196" s="52"/>
      <c r="X196" s="52"/>
      <c r="Y196" s="52"/>
      <c r="Z196" s="52"/>
      <c r="AA196" s="52"/>
      <c r="AB196" s="114"/>
      <c r="AC196" s="56"/>
      <c r="AD196" s="115"/>
      <c r="AE196" s="116"/>
    </row>
    <row r="197" ht="15.75" customHeight="1">
      <c r="E197" s="112"/>
      <c r="F197" s="52" t="str">
        <f t="shared" si="6"/>
        <v/>
      </c>
      <c r="G197" s="52"/>
      <c r="H197" s="52"/>
      <c r="I197" s="52"/>
      <c r="J197" s="52"/>
      <c r="K197" s="52"/>
      <c r="L197" s="52"/>
      <c r="M197" s="113"/>
      <c r="N197" s="113"/>
      <c r="O197" s="113"/>
      <c r="P197" s="113"/>
      <c r="V197" s="52" t="str">
        <f t="shared" si="5"/>
        <v/>
      </c>
      <c r="W197" s="52"/>
      <c r="X197" s="52"/>
      <c r="Y197" s="52"/>
      <c r="Z197" s="52"/>
      <c r="AA197" s="52"/>
      <c r="AB197" s="114"/>
      <c r="AC197" s="56"/>
      <c r="AD197" s="115"/>
      <c r="AE197" s="116"/>
    </row>
    <row r="198" ht="15.75" customHeight="1">
      <c r="E198" s="112"/>
      <c r="F198" s="52" t="str">
        <f t="shared" si="6"/>
        <v/>
      </c>
      <c r="G198" s="52"/>
      <c r="H198" s="52"/>
      <c r="I198" s="52"/>
      <c r="J198" s="52"/>
      <c r="K198" s="52"/>
      <c r="L198" s="52"/>
      <c r="M198" s="113"/>
      <c r="N198" s="113"/>
      <c r="O198" s="113"/>
      <c r="P198" s="113"/>
      <c r="V198" s="52" t="str">
        <f t="shared" si="5"/>
        <v/>
      </c>
      <c r="W198" s="52"/>
      <c r="X198" s="52"/>
      <c r="Y198" s="52"/>
      <c r="Z198" s="52"/>
      <c r="AA198" s="52"/>
      <c r="AB198" s="114"/>
      <c r="AC198" s="56"/>
      <c r="AD198" s="115"/>
      <c r="AE198" s="116"/>
    </row>
    <row r="199" ht="15.75" customHeight="1">
      <c r="M199" s="113"/>
      <c r="N199" s="113"/>
      <c r="O199" s="113"/>
      <c r="P199" s="113"/>
      <c r="AC199" s="117"/>
      <c r="AD199" s="118"/>
    </row>
    <row r="200" ht="15.75" customHeight="1">
      <c r="M200" s="113"/>
      <c r="N200" s="113"/>
      <c r="O200" s="113"/>
      <c r="P200" s="113"/>
      <c r="AC200" s="117"/>
      <c r="AD200" s="118"/>
    </row>
    <row r="201" ht="15.75" customHeight="1">
      <c r="M201" s="113"/>
      <c r="N201" s="113"/>
      <c r="O201" s="113"/>
      <c r="P201" s="113"/>
      <c r="AC201" s="117"/>
      <c r="AD201" s="118"/>
    </row>
    <row r="202" ht="15.75" customHeight="1">
      <c r="M202" s="113"/>
      <c r="N202" s="113"/>
      <c r="O202" s="113"/>
      <c r="P202" s="113"/>
      <c r="AC202" s="117"/>
      <c r="AD202" s="118"/>
    </row>
    <row r="203" ht="15.75" customHeight="1">
      <c r="M203" s="113"/>
      <c r="N203" s="113"/>
      <c r="O203" s="113"/>
      <c r="P203" s="113"/>
      <c r="AC203" s="117"/>
      <c r="AD203" s="118"/>
    </row>
    <row r="204" ht="15.75" customHeight="1">
      <c r="M204" s="113"/>
      <c r="N204" s="113"/>
      <c r="O204" s="113"/>
      <c r="P204" s="113"/>
      <c r="AC204" s="117"/>
      <c r="AD204" s="118"/>
    </row>
    <row r="205" ht="15.75" customHeight="1">
      <c r="M205" s="113"/>
      <c r="N205" s="113"/>
      <c r="O205" s="113"/>
      <c r="P205" s="113"/>
      <c r="AC205" s="117"/>
      <c r="AD205" s="118"/>
    </row>
    <row r="206" ht="15.75" customHeight="1">
      <c r="M206" s="113"/>
      <c r="N206" s="113"/>
      <c r="O206" s="113"/>
      <c r="P206" s="113"/>
      <c r="AC206" s="117"/>
      <c r="AD206" s="118"/>
    </row>
    <row r="207" ht="15.75" customHeight="1">
      <c r="M207" s="113"/>
      <c r="N207" s="113"/>
      <c r="O207" s="113"/>
      <c r="P207" s="113"/>
      <c r="AC207" s="117"/>
      <c r="AD207" s="118"/>
    </row>
    <row r="208" ht="15.75" customHeight="1">
      <c r="M208" s="113"/>
      <c r="N208" s="113"/>
      <c r="O208" s="113"/>
      <c r="P208" s="113"/>
      <c r="AC208" s="117"/>
      <c r="AD208" s="118"/>
    </row>
    <row r="209" ht="15.75" customHeight="1">
      <c r="M209" s="113"/>
      <c r="N209" s="113"/>
      <c r="O209" s="113"/>
      <c r="P209" s="113"/>
      <c r="AC209" s="117"/>
      <c r="AD209" s="118"/>
    </row>
    <row r="210" ht="15.75" customHeight="1">
      <c r="M210" s="113"/>
      <c r="N210" s="113"/>
      <c r="O210" s="113"/>
      <c r="P210" s="113"/>
      <c r="AC210" s="117"/>
      <c r="AD210" s="118"/>
    </row>
    <row r="211" ht="15.75" customHeight="1">
      <c r="M211" s="113"/>
      <c r="N211" s="113"/>
      <c r="O211" s="113"/>
      <c r="P211" s="113"/>
      <c r="AC211" s="117"/>
      <c r="AD211" s="118"/>
    </row>
    <row r="212" ht="15.75" customHeight="1">
      <c r="M212" s="113"/>
      <c r="N212" s="113"/>
      <c r="O212" s="113"/>
      <c r="P212" s="113"/>
      <c r="AC212" s="117"/>
      <c r="AD212" s="118"/>
    </row>
    <row r="213" ht="15.75" customHeight="1">
      <c r="M213" s="113"/>
      <c r="N213" s="113"/>
      <c r="O213" s="113"/>
      <c r="P213" s="113"/>
      <c r="AC213" s="117"/>
      <c r="AD213" s="118"/>
    </row>
    <row r="214" ht="15.75" customHeight="1">
      <c r="M214" s="113"/>
      <c r="N214" s="113"/>
      <c r="O214" s="113"/>
      <c r="P214" s="113"/>
      <c r="AC214" s="117"/>
      <c r="AD214" s="118"/>
    </row>
    <row r="215" ht="15.75" customHeight="1">
      <c r="M215" s="113"/>
      <c r="N215" s="113"/>
      <c r="O215" s="113"/>
      <c r="P215" s="113"/>
      <c r="AC215" s="117"/>
      <c r="AD215" s="118"/>
    </row>
    <row r="216" ht="15.75" customHeight="1">
      <c r="M216" s="113"/>
      <c r="N216" s="113"/>
      <c r="O216" s="113"/>
      <c r="P216" s="113"/>
      <c r="AC216" s="117"/>
      <c r="AD216" s="118"/>
    </row>
    <row r="217" ht="15.75" customHeight="1">
      <c r="M217" s="113"/>
      <c r="N217" s="113"/>
      <c r="O217" s="113"/>
      <c r="P217" s="113"/>
      <c r="AC217" s="117"/>
      <c r="AD217" s="118"/>
    </row>
    <row r="218" ht="15.75" customHeight="1">
      <c r="M218" s="113"/>
      <c r="N218" s="113"/>
      <c r="O218" s="113"/>
      <c r="P218" s="113"/>
      <c r="AC218" s="117"/>
      <c r="AD218" s="118"/>
    </row>
    <row r="219" ht="15.75" customHeight="1">
      <c r="M219" s="113"/>
      <c r="N219" s="113"/>
      <c r="O219" s="113"/>
      <c r="P219" s="113"/>
      <c r="AC219" s="117"/>
      <c r="AD219" s="118"/>
    </row>
    <row r="220" ht="15.75" customHeight="1">
      <c r="M220" s="113"/>
      <c r="N220" s="113"/>
      <c r="O220" s="113"/>
      <c r="P220" s="113"/>
      <c r="AC220" s="117"/>
      <c r="AD220" s="118"/>
    </row>
    <row r="221" ht="15.75" customHeight="1">
      <c r="M221" s="113"/>
      <c r="N221" s="113"/>
      <c r="O221" s="113"/>
      <c r="P221" s="113"/>
      <c r="AC221" s="117"/>
      <c r="AD221" s="118"/>
    </row>
    <row r="222" ht="15.75" customHeight="1">
      <c r="M222" s="113"/>
      <c r="N222" s="113"/>
      <c r="O222" s="113"/>
      <c r="P222" s="113"/>
      <c r="AC222" s="117"/>
      <c r="AD222" s="118"/>
    </row>
    <row r="223" ht="15.75" customHeight="1">
      <c r="M223" s="113"/>
      <c r="N223" s="113"/>
      <c r="O223" s="113"/>
      <c r="P223" s="113"/>
      <c r="AC223" s="117"/>
      <c r="AD223" s="118"/>
    </row>
    <row r="224" ht="15.75" customHeight="1">
      <c r="M224" s="113"/>
      <c r="N224" s="113"/>
      <c r="O224" s="113"/>
      <c r="P224" s="113"/>
      <c r="AC224" s="117"/>
      <c r="AD224" s="118"/>
    </row>
    <row r="225" ht="15.75" customHeight="1">
      <c r="M225" s="113"/>
      <c r="N225" s="113"/>
      <c r="O225" s="113"/>
      <c r="P225" s="113"/>
      <c r="AC225" s="117"/>
      <c r="AD225" s="118"/>
    </row>
    <row r="226" ht="15.75" customHeight="1">
      <c r="M226" s="113"/>
      <c r="N226" s="113"/>
      <c r="O226" s="113"/>
      <c r="P226" s="113"/>
      <c r="AC226" s="117"/>
      <c r="AD226" s="118"/>
    </row>
    <row r="227" ht="15.75" customHeight="1">
      <c r="M227" s="113"/>
      <c r="N227" s="113"/>
      <c r="O227" s="113"/>
      <c r="P227" s="113"/>
      <c r="AC227" s="117"/>
      <c r="AD227" s="118"/>
    </row>
    <row r="228" ht="15.75" customHeight="1">
      <c r="M228" s="113"/>
      <c r="N228" s="113"/>
      <c r="O228" s="113"/>
      <c r="P228" s="113"/>
      <c r="AC228" s="117"/>
      <c r="AD228" s="118"/>
    </row>
    <row r="229" ht="15.75" customHeight="1">
      <c r="M229" s="113"/>
      <c r="N229" s="113"/>
      <c r="O229" s="113"/>
      <c r="P229" s="113"/>
      <c r="AC229" s="117"/>
      <c r="AD229" s="118"/>
    </row>
    <row r="230" ht="15.75" customHeight="1">
      <c r="M230" s="113"/>
      <c r="N230" s="113"/>
      <c r="O230" s="113"/>
      <c r="P230" s="113"/>
      <c r="AC230" s="117"/>
      <c r="AD230" s="118"/>
    </row>
    <row r="231" ht="15.75" customHeight="1">
      <c r="M231" s="113"/>
      <c r="N231" s="113"/>
      <c r="O231" s="113"/>
      <c r="P231" s="113"/>
      <c r="AC231" s="117"/>
      <c r="AD231" s="118"/>
    </row>
    <row r="232" ht="15.75" customHeight="1">
      <c r="M232" s="113"/>
      <c r="N232" s="113"/>
      <c r="O232" s="113"/>
      <c r="P232" s="113"/>
      <c r="AC232" s="117"/>
      <c r="AD232" s="118"/>
    </row>
    <row r="233" ht="15.75" customHeight="1">
      <c r="M233" s="113"/>
      <c r="N233" s="113"/>
      <c r="O233" s="113"/>
      <c r="P233" s="113"/>
      <c r="AC233" s="117"/>
      <c r="AD233" s="118"/>
    </row>
    <row r="234" ht="15.75" customHeight="1">
      <c r="M234" s="113"/>
      <c r="N234" s="113"/>
      <c r="O234" s="113"/>
      <c r="P234" s="113"/>
      <c r="AC234" s="117"/>
      <c r="AD234" s="118"/>
    </row>
    <row r="235" ht="15.75" customHeight="1">
      <c r="M235" s="113"/>
      <c r="N235" s="113"/>
      <c r="O235" s="113"/>
      <c r="P235" s="113"/>
      <c r="AC235" s="117"/>
      <c r="AD235" s="118"/>
    </row>
    <row r="236" ht="15.75" customHeight="1">
      <c r="M236" s="113"/>
      <c r="N236" s="113"/>
      <c r="O236" s="113"/>
      <c r="P236" s="113"/>
      <c r="AC236" s="117"/>
      <c r="AD236" s="118"/>
    </row>
    <row r="237" ht="15.75" customHeight="1">
      <c r="M237" s="113"/>
      <c r="N237" s="113"/>
      <c r="O237" s="113"/>
      <c r="P237" s="113"/>
      <c r="AC237" s="117"/>
      <c r="AD237" s="118"/>
    </row>
    <row r="238" ht="15.75" customHeight="1">
      <c r="M238" s="113"/>
      <c r="N238" s="113"/>
      <c r="O238" s="113"/>
      <c r="P238" s="113"/>
      <c r="AC238" s="117"/>
      <c r="AD238" s="118"/>
    </row>
    <row r="239" ht="15.75" customHeight="1">
      <c r="M239" s="113"/>
      <c r="N239" s="113"/>
      <c r="O239" s="113"/>
      <c r="P239" s="113"/>
      <c r="AC239" s="117"/>
      <c r="AD239" s="118"/>
    </row>
    <row r="240" ht="15.75" customHeight="1">
      <c r="M240" s="113"/>
      <c r="N240" s="113"/>
      <c r="O240" s="113"/>
      <c r="P240" s="113"/>
      <c r="AC240" s="117"/>
      <c r="AD240" s="118"/>
    </row>
    <row r="241" ht="15.75" customHeight="1">
      <c r="M241" s="113"/>
      <c r="N241" s="113"/>
      <c r="O241" s="113"/>
      <c r="P241" s="113"/>
      <c r="AC241" s="117"/>
      <c r="AD241" s="118"/>
    </row>
    <row r="242" ht="15.75" customHeight="1">
      <c r="M242" s="113"/>
      <c r="N242" s="113"/>
      <c r="O242" s="113"/>
      <c r="P242" s="113"/>
      <c r="AC242" s="117"/>
      <c r="AD242" s="118"/>
    </row>
    <row r="243" ht="15.75" customHeight="1">
      <c r="M243" s="113"/>
      <c r="N243" s="113"/>
      <c r="O243" s="113"/>
      <c r="P243" s="113"/>
      <c r="AC243" s="117"/>
      <c r="AD243" s="118"/>
    </row>
    <row r="244" ht="15.75" customHeight="1">
      <c r="M244" s="113"/>
      <c r="N244" s="113"/>
      <c r="O244" s="113"/>
      <c r="P244" s="113"/>
      <c r="AC244" s="117"/>
      <c r="AD244" s="118"/>
    </row>
    <row r="245" ht="15.75" customHeight="1">
      <c r="M245" s="113"/>
      <c r="N245" s="113"/>
      <c r="O245" s="113"/>
      <c r="P245" s="113"/>
      <c r="AC245" s="117"/>
      <c r="AD245" s="118"/>
    </row>
    <row r="246" ht="15.75" customHeight="1">
      <c r="M246" s="113"/>
      <c r="N246" s="113"/>
      <c r="O246" s="113"/>
      <c r="P246" s="113"/>
      <c r="AC246" s="117"/>
      <c r="AD246" s="118"/>
    </row>
    <row r="247" ht="15.75" customHeight="1">
      <c r="M247" s="113"/>
      <c r="N247" s="113"/>
      <c r="O247" s="113"/>
      <c r="P247" s="113"/>
      <c r="AC247" s="117"/>
      <c r="AD247" s="118"/>
    </row>
    <row r="248" ht="15.75" customHeight="1">
      <c r="M248" s="113"/>
      <c r="N248" s="113"/>
      <c r="O248" s="113"/>
      <c r="P248" s="113"/>
      <c r="AC248" s="117"/>
      <c r="AD248" s="118"/>
    </row>
    <row r="249" ht="15.75" customHeight="1">
      <c r="M249" s="113"/>
      <c r="N249" s="113"/>
      <c r="O249" s="113"/>
      <c r="P249" s="113"/>
      <c r="AC249" s="117"/>
      <c r="AD249" s="118"/>
    </row>
    <row r="250" ht="15.75" customHeight="1">
      <c r="M250" s="113"/>
      <c r="N250" s="113"/>
      <c r="O250" s="113"/>
      <c r="P250" s="113"/>
      <c r="AC250" s="117"/>
      <c r="AD250" s="118"/>
    </row>
    <row r="251" ht="15.75" customHeight="1">
      <c r="M251" s="113"/>
      <c r="N251" s="113"/>
      <c r="O251" s="113"/>
      <c r="P251" s="113"/>
      <c r="AC251" s="117"/>
      <c r="AD251" s="118"/>
    </row>
    <row r="252" ht="15.75" customHeight="1">
      <c r="M252" s="113"/>
      <c r="N252" s="113"/>
      <c r="O252" s="113"/>
      <c r="P252" s="113"/>
      <c r="AC252" s="117"/>
      <c r="AD252" s="118"/>
    </row>
    <row r="253" ht="15.75" customHeight="1">
      <c r="M253" s="113"/>
      <c r="N253" s="113"/>
      <c r="O253" s="113"/>
      <c r="P253" s="113"/>
      <c r="AC253" s="117"/>
      <c r="AD253" s="118"/>
    </row>
    <row r="254" ht="15.75" customHeight="1">
      <c r="M254" s="113"/>
      <c r="N254" s="113"/>
      <c r="O254" s="113"/>
      <c r="P254" s="113"/>
      <c r="AC254" s="117"/>
      <c r="AD254" s="118"/>
    </row>
    <row r="255" ht="15.75" customHeight="1">
      <c r="M255" s="113"/>
      <c r="N255" s="113"/>
      <c r="O255" s="113"/>
      <c r="P255" s="113"/>
      <c r="AC255" s="117"/>
      <c r="AD255" s="118"/>
    </row>
    <row r="256" ht="15.75" customHeight="1">
      <c r="M256" s="113"/>
      <c r="N256" s="113"/>
      <c r="O256" s="113"/>
      <c r="P256" s="113"/>
      <c r="AC256" s="117"/>
      <c r="AD256" s="118"/>
    </row>
    <row r="257" ht="15.75" customHeight="1">
      <c r="M257" s="113"/>
      <c r="N257" s="113"/>
      <c r="O257" s="113"/>
      <c r="P257" s="113"/>
      <c r="AC257" s="117"/>
      <c r="AD257" s="118"/>
    </row>
    <row r="258" ht="15.75" customHeight="1">
      <c r="M258" s="113"/>
      <c r="N258" s="113"/>
      <c r="O258" s="113"/>
      <c r="P258" s="113"/>
      <c r="AC258" s="117"/>
      <c r="AD258" s="118"/>
    </row>
    <row r="259" ht="15.75" customHeight="1">
      <c r="M259" s="113"/>
      <c r="N259" s="113"/>
      <c r="O259" s="113"/>
      <c r="P259" s="113"/>
      <c r="AC259" s="117"/>
      <c r="AD259" s="118"/>
    </row>
    <row r="260" ht="15.75" customHeight="1">
      <c r="M260" s="113"/>
      <c r="N260" s="113"/>
      <c r="O260" s="113"/>
      <c r="P260" s="113"/>
      <c r="AC260" s="117"/>
      <c r="AD260" s="118"/>
    </row>
    <row r="261" ht="15.75" customHeight="1">
      <c r="M261" s="113"/>
      <c r="N261" s="113"/>
      <c r="O261" s="113"/>
      <c r="P261" s="113"/>
      <c r="AC261" s="117"/>
      <c r="AD261" s="118"/>
    </row>
    <row r="262" ht="15.75" customHeight="1">
      <c r="M262" s="113"/>
      <c r="N262" s="113"/>
      <c r="O262" s="113"/>
      <c r="P262" s="113"/>
      <c r="AC262" s="117"/>
      <c r="AD262" s="118"/>
    </row>
    <row r="263" ht="15.75" customHeight="1">
      <c r="M263" s="113"/>
      <c r="N263" s="113"/>
      <c r="O263" s="113"/>
      <c r="P263" s="113"/>
      <c r="AC263" s="117"/>
      <c r="AD263" s="118"/>
    </row>
    <row r="264" ht="15.75" customHeight="1">
      <c r="M264" s="113"/>
      <c r="N264" s="113"/>
      <c r="O264" s="113"/>
      <c r="P264" s="113"/>
      <c r="AC264" s="117"/>
      <c r="AD264" s="118"/>
    </row>
    <row r="265" ht="15.75" customHeight="1">
      <c r="M265" s="113"/>
      <c r="N265" s="113"/>
      <c r="O265" s="113"/>
      <c r="P265" s="113"/>
      <c r="AC265" s="117"/>
      <c r="AD265" s="118"/>
    </row>
    <row r="266" ht="15.75" customHeight="1">
      <c r="M266" s="113"/>
      <c r="N266" s="113"/>
      <c r="O266" s="113"/>
      <c r="P266" s="113"/>
      <c r="AC266" s="117"/>
      <c r="AD266" s="118"/>
    </row>
    <row r="267" ht="15.75" customHeight="1">
      <c r="M267" s="113"/>
      <c r="N267" s="113"/>
      <c r="O267" s="113"/>
      <c r="P267" s="113"/>
      <c r="AC267" s="117"/>
      <c r="AD267" s="118"/>
    </row>
    <row r="268" ht="15.75" customHeight="1">
      <c r="M268" s="113"/>
      <c r="N268" s="113"/>
      <c r="O268" s="113"/>
      <c r="P268" s="113"/>
      <c r="AC268" s="117"/>
      <c r="AD268" s="118"/>
    </row>
    <row r="269" ht="15.75" customHeight="1">
      <c r="M269" s="113"/>
      <c r="N269" s="113"/>
      <c r="O269" s="113"/>
      <c r="P269" s="113"/>
      <c r="AC269" s="117"/>
      <c r="AD269" s="118"/>
    </row>
    <row r="270" ht="15.75" customHeight="1">
      <c r="M270" s="113"/>
      <c r="N270" s="113"/>
      <c r="O270" s="113"/>
      <c r="P270" s="113"/>
      <c r="AC270" s="117"/>
      <c r="AD270" s="118"/>
    </row>
    <row r="271" ht="15.75" customHeight="1">
      <c r="M271" s="113"/>
      <c r="N271" s="113"/>
      <c r="O271" s="113"/>
      <c r="P271" s="113"/>
      <c r="AC271" s="117"/>
      <c r="AD271" s="118"/>
    </row>
    <row r="272" ht="15.75" customHeight="1">
      <c r="M272" s="113"/>
      <c r="N272" s="113"/>
      <c r="O272" s="113"/>
      <c r="P272" s="113"/>
      <c r="AC272" s="117"/>
      <c r="AD272" s="118"/>
    </row>
    <row r="273" ht="15.75" customHeight="1">
      <c r="M273" s="113"/>
      <c r="N273" s="113"/>
      <c r="O273" s="113"/>
      <c r="P273" s="113"/>
      <c r="AC273" s="117"/>
      <c r="AD273" s="118"/>
    </row>
    <row r="274" ht="15.75" customHeight="1">
      <c r="M274" s="113"/>
      <c r="N274" s="113"/>
      <c r="O274" s="113"/>
      <c r="P274" s="113"/>
      <c r="AC274" s="117"/>
      <c r="AD274" s="118"/>
    </row>
    <row r="275" ht="15.75" customHeight="1">
      <c r="M275" s="113"/>
      <c r="N275" s="113"/>
      <c r="O275" s="113"/>
      <c r="P275" s="113"/>
      <c r="AC275" s="117"/>
      <c r="AD275" s="118"/>
    </row>
    <row r="276" ht="15.75" customHeight="1">
      <c r="M276" s="113"/>
      <c r="N276" s="113"/>
      <c r="O276" s="113"/>
      <c r="P276" s="113"/>
      <c r="AC276" s="117"/>
      <c r="AD276" s="118"/>
    </row>
    <row r="277" ht="15.75" customHeight="1">
      <c r="M277" s="113"/>
      <c r="N277" s="113"/>
      <c r="O277" s="113"/>
      <c r="P277" s="113"/>
      <c r="AC277" s="117"/>
      <c r="AD277" s="118"/>
    </row>
    <row r="278" ht="15.75" customHeight="1">
      <c r="M278" s="113"/>
      <c r="N278" s="113"/>
      <c r="O278" s="113"/>
      <c r="P278" s="113"/>
      <c r="AC278" s="117"/>
      <c r="AD278" s="118"/>
    </row>
    <row r="279" ht="15.75" customHeight="1">
      <c r="M279" s="113"/>
      <c r="N279" s="113"/>
      <c r="O279" s="113"/>
      <c r="P279" s="113"/>
      <c r="AC279" s="117"/>
      <c r="AD279" s="118"/>
    </row>
    <row r="280" ht="15.75" customHeight="1">
      <c r="M280" s="113"/>
      <c r="N280" s="113"/>
      <c r="O280" s="113"/>
      <c r="P280" s="113"/>
      <c r="AC280" s="117"/>
      <c r="AD280" s="118"/>
    </row>
    <row r="281" ht="15.75" customHeight="1">
      <c r="M281" s="113"/>
      <c r="N281" s="113"/>
      <c r="O281" s="113"/>
      <c r="P281" s="113"/>
      <c r="AC281" s="117"/>
      <c r="AD281" s="118"/>
    </row>
    <row r="282" ht="15.75" customHeight="1">
      <c r="M282" s="113"/>
      <c r="N282" s="113"/>
      <c r="O282" s="113"/>
      <c r="P282" s="113"/>
      <c r="AC282" s="117"/>
      <c r="AD282" s="118"/>
    </row>
    <row r="283" ht="15.75" customHeight="1">
      <c r="M283" s="113"/>
      <c r="N283" s="113"/>
      <c r="O283" s="113"/>
      <c r="P283" s="113"/>
      <c r="AC283" s="117"/>
      <c r="AD283" s="118"/>
    </row>
    <row r="284" ht="15.75" customHeight="1">
      <c r="M284" s="113"/>
      <c r="N284" s="113"/>
      <c r="O284" s="113"/>
      <c r="P284" s="113"/>
      <c r="AC284" s="117"/>
      <c r="AD284" s="118"/>
    </row>
    <row r="285" ht="15.75" customHeight="1">
      <c r="M285" s="113"/>
      <c r="N285" s="113"/>
      <c r="O285" s="113"/>
      <c r="P285" s="113"/>
      <c r="AC285" s="117"/>
      <c r="AD285" s="118"/>
    </row>
    <row r="286" ht="15.75" customHeight="1">
      <c r="M286" s="113"/>
      <c r="N286" s="113"/>
      <c r="O286" s="113"/>
      <c r="P286" s="113"/>
      <c r="AC286" s="117"/>
      <c r="AD286" s="118"/>
    </row>
    <row r="287" ht="15.75" customHeight="1">
      <c r="M287" s="113"/>
      <c r="N287" s="113"/>
      <c r="O287" s="113"/>
      <c r="P287" s="113"/>
      <c r="AC287" s="117"/>
      <c r="AD287" s="118"/>
    </row>
    <row r="288" ht="15.75" customHeight="1">
      <c r="M288" s="113"/>
      <c r="N288" s="113"/>
      <c r="O288" s="113"/>
      <c r="P288" s="113"/>
      <c r="AC288" s="117"/>
      <c r="AD288" s="118"/>
    </row>
    <row r="289" ht="15.75" customHeight="1">
      <c r="M289" s="113"/>
      <c r="N289" s="113"/>
      <c r="O289" s="113"/>
      <c r="P289" s="113"/>
      <c r="AC289" s="117"/>
      <c r="AD289" s="118"/>
    </row>
    <row r="290" ht="15.75" customHeight="1">
      <c r="M290" s="113"/>
      <c r="N290" s="113"/>
      <c r="O290" s="113"/>
      <c r="P290" s="113"/>
      <c r="AC290" s="117"/>
      <c r="AD290" s="118"/>
    </row>
    <row r="291" ht="15.75" customHeight="1">
      <c r="M291" s="113"/>
      <c r="N291" s="113"/>
      <c r="O291" s="113"/>
      <c r="P291" s="113"/>
      <c r="AC291" s="117"/>
      <c r="AD291" s="118"/>
    </row>
    <row r="292" ht="15.75" customHeight="1">
      <c r="M292" s="113"/>
      <c r="N292" s="113"/>
      <c r="O292" s="113"/>
      <c r="P292" s="113"/>
      <c r="AC292" s="117"/>
      <c r="AD292" s="118"/>
    </row>
    <row r="293" ht="15.75" customHeight="1">
      <c r="M293" s="113"/>
      <c r="N293" s="113"/>
      <c r="O293" s="113"/>
      <c r="P293" s="113"/>
      <c r="AC293" s="117"/>
      <c r="AD293" s="118"/>
    </row>
    <row r="294" ht="15.75" customHeight="1">
      <c r="M294" s="113"/>
      <c r="N294" s="113"/>
      <c r="O294" s="113"/>
      <c r="P294" s="113"/>
      <c r="AC294" s="117"/>
      <c r="AD294" s="118"/>
    </row>
    <row r="295" ht="15.75" customHeight="1">
      <c r="M295" s="113"/>
      <c r="N295" s="113"/>
      <c r="O295" s="113"/>
      <c r="P295" s="113"/>
      <c r="AC295" s="117"/>
      <c r="AD295" s="118"/>
    </row>
    <row r="296" ht="15.75" customHeight="1">
      <c r="M296" s="113"/>
      <c r="N296" s="113"/>
      <c r="O296" s="113"/>
      <c r="P296" s="113"/>
      <c r="AC296" s="117"/>
      <c r="AD296" s="118"/>
    </row>
    <row r="297" ht="15.75" customHeight="1">
      <c r="M297" s="113"/>
      <c r="N297" s="113"/>
      <c r="O297" s="113"/>
      <c r="P297" s="113"/>
      <c r="AC297" s="117"/>
      <c r="AD297" s="118"/>
    </row>
    <row r="298" ht="15.75" customHeight="1">
      <c r="M298" s="113"/>
      <c r="N298" s="113"/>
      <c r="O298" s="113"/>
      <c r="P298" s="113"/>
      <c r="AC298" s="117"/>
      <c r="AD298" s="118"/>
    </row>
    <row r="299" ht="15.75" customHeight="1">
      <c r="M299" s="113"/>
      <c r="N299" s="113"/>
      <c r="O299" s="113"/>
      <c r="P299" s="113"/>
      <c r="AC299" s="117"/>
      <c r="AD299" s="118"/>
    </row>
    <row r="300" ht="15.75" customHeight="1">
      <c r="M300" s="113"/>
      <c r="N300" s="113"/>
      <c r="O300" s="113"/>
      <c r="P300" s="113"/>
      <c r="AC300" s="117"/>
      <c r="AD300" s="118"/>
    </row>
    <row r="301" ht="15.75" customHeight="1">
      <c r="M301" s="113"/>
      <c r="N301" s="113"/>
      <c r="O301" s="113"/>
      <c r="P301" s="113"/>
      <c r="AC301" s="117"/>
      <c r="AD301" s="118"/>
    </row>
    <row r="302" ht="15.75" customHeight="1">
      <c r="M302" s="113"/>
      <c r="N302" s="113"/>
      <c r="O302" s="113"/>
      <c r="P302" s="113"/>
      <c r="AC302" s="117"/>
      <c r="AD302" s="118"/>
    </row>
    <row r="303" ht="15.75" customHeight="1">
      <c r="M303" s="113"/>
      <c r="N303" s="113"/>
      <c r="O303" s="113"/>
      <c r="P303" s="113"/>
      <c r="AC303" s="117"/>
      <c r="AD303" s="118"/>
    </row>
    <row r="304" ht="15.75" customHeight="1">
      <c r="M304" s="113"/>
      <c r="N304" s="113"/>
      <c r="O304" s="113"/>
      <c r="P304" s="113"/>
      <c r="AC304" s="117"/>
      <c r="AD304" s="118"/>
    </row>
    <row r="305" ht="15.75" customHeight="1">
      <c r="M305" s="113"/>
      <c r="N305" s="113"/>
      <c r="O305" s="113"/>
      <c r="P305" s="113"/>
      <c r="AC305" s="117"/>
      <c r="AD305" s="118"/>
    </row>
    <row r="306" ht="15.75" customHeight="1">
      <c r="M306" s="113"/>
      <c r="N306" s="113"/>
      <c r="O306" s="113"/>
      <c r="P306" s="113"/>
      <c r="AC306" s="117"/>
      <c r="AD306" s="118"/>
    </row>
    <row r="307" ht="15.75" customHeight="1">
      <c r="M307" s="113"/>
      <c r="N307" s="113"/>
      <c r="O307" s="113"/>
      <c r="P307" s="113"/>
      <c r="AC307" s="117"/>
      <c r="AD307" s="118"/>
    </row>
    <row r="308" ht="15.75" customHeight="1">
      <c r="M308" s="113"/>
      <c r="N308" s="113"/>
      <c r="O308" s="113"/>
      <c r="P308" s="113"/>
      <c r="AC308" s="117"/>
      <c r="AD308" s="118"/>
    </row>
    <row r="309" ht="15.75" customHeight="1">
      <c r="M309" s="113"/>
      <c r="N309" s="113"/>
      <c r="O309" s="113"/>
      <c r="P309" s="113"/>
      <c r="AC309" s="117"/>
      <c r="AD309" s="118"/>
    </row>
    <row r="310" ht="15.75" customHeight="1">
      <c r="M310" s="113"/>
      <c r="N310" s="113"/>
      <c r="O310" s="113"/>
      <c r="P310" s="113"/>
      <c r="AC310" s="117"/>
      <c r="AD310" s="118"/>
    </row>
    <row r="311" ht="15.75" customHeight="1">
      <c r="M311" s="113"/>
      <c r="N311" s="113"/>
      <c r="O311" s="113"/>
      <c r="P311" s="113"/>
      <c r="AC311" s="117"/>
      <c r="AD311" s="118"/>
    </row>
    <row r="312" ht="15.75" customHeight="1">
      <c r="M312" s="113"/>
      <c r="N312" s="113"/>
      <c r="O312" s="113"/>
      <c r="P312" s="113"/>
      <c r="AC312" s="117"/>
      <c r="AD312" s="118"/>
    </row>
    <row r="313" ht="15.75" customHeight="1">
      <c r="M313" s="113"/>
      <c r="N313" s="113"/>
      <c r="O313" s="113"/>
      <c r="P313" s="113"/>
      <c r="AC313" s="117"/>
      <c r="AD313" s="118"/>
    </row>
    <row r="314" ht="15.75" customHeight="1">
      <c r="M314" s="113"/>
      <c r="N314" s="113"/>
      <c r="O314" s="113"/>
      <c r="P314" s="113"/>
      <c r="AC314" s="117"/>
      <c r="AD314" s="118"/>
    </row>
    <row r="315" ht="15.75" customHeight="1">
      <c r="M315" s="113"/>
      <c r="N315" s="113"/>
      <c r="O315" s="113"/>
      <c r="P315" s="113"/>
      <c r="AC315" s="117"/>
      <c r="AD315" s="118"/>
    </row>
    <row r="316" ht="15.75" customHeight="1">
      <c r="M316" s="113"/>
      <c r="N316" s="113"/>
      <c r="O316" s="113"/>
      <c r="P316" s="113"/>
      <c r="AC316" s="117"/>
      <c r="AD316" s="118"/>
    </row>
    <row r="317" ht="15.75" customHeight="1">
      <c r="M317" s="113"/>
      <c r="N317" s="113"/>
      <c r="O317" s="113"/>
      <c r="P317" s="113"/>
      <c r="AC317" s="117"/>
      <c r="AD317" s="118"/>
    </row>
    <row r="318" ht="15.75" customHeight="1">
      <c r="M318" s="113"/>
      <c r="N318" s="113"/>
      <c r="O318" s="113"/>
      <c r="P318" s="113"/>
      <c r="AC318" s="117"/>
      <c r="AD318" s="118"/>
    </row>
    <row r="319" ht="15.75" customHeight="1">
      <c r="M319" s="113"/>
      <c r="N319" s="113"/>
      <c r="O319" s="113"/>
      <c r="P319" s="113"/>
      <c r="AC319" s="117"/>
      <c r="AD319" s="118"/>
    </row>
    <row r="320" ht="15.75" customHeight="1">
      <c r="M320" s="113"/>
      <c r="N320" s="113"/>
      <c r="O320" s="113"/>
      <c r="P320" s="113"/>
      <c r="AC320" s="117"/>
      <c r="AD320" s="118"/>
    </row>
    <row r="321" ht="15.75" customHeight="1">
      <c r="M321" s="113"/>
      <c r="N321" s="113"/>
      <c r="O321" s="113"/>
      <c r="P321" s="113"/>
      <c r="AC321" s="117"/>
      <c r="AD321" s="118"/>
    </row>
    <row r="322" ht="15.75" customHeight="1">
      <c r="M322" s="113"/>
      <c r="N322" s="113"/>
      <c r="O322" s="113"/>
      <c r="P322" s="113"/>
      <c r="AC322" s="117"/>
      <c r="AD322" s="118"/>
    </row>
    <row r="323" ht="15.75" customHeight="1">
      <c r="M323" s="113"/>
      <c r="N323" s="113"/>
      <c r="O323" s="113"/>
      <c r="P323" s="113"/>
      <c r="AC323" s="117"/>
      <c r="AD323" s="118"/>
    </row>
    <row r="324" ht="15.75" customHeight="1">
      <c r="M324" s="113"/>
      <c r="N324" s="113"/>
      <c r="O324" s="113"/>
      <c r="P324" s="113"/>
      <c r="AC324" s="117"/>
      <c r="AD324" s="118"/>
    </row>
    <row r="325" ht="15.75" customHeight="1">
      <c r="M325" s="113"/>
      <c r="N325" s="113"/>
      <c r="O325" s="113"/>
      <c r="P325" s="113"/>
      <c r="AC325" s="117"/>
      <c r="AD325" s="118"/>
    </row>
    <row r="326" ht="15.75" customHeight="1">
      <c r="M326" s="113"/>
      <c r="N326" s="113"/>
      <c r="O326" s="113"/>
      <c r="P326" s="113"/>
      <c r="AC326" s="117"/>
      <c r="AD326" s="118"/>
    </row>
    <row r="327" ht="15.75" customHeight="1">
      <c r="M327" s="113"/>
      <c r="N327" s="113"/>
      <c r="O327" s="113"/>
      <c r="P327" s="113"/>
      <c r="AC327" s="117"/>
      <c r="AD327" s="118"/>
    </row>
    <row r="328" ht="15.75" customHeight="1">
      <c r="M328" s="113"/>
      <c r="N328" s="113"/>
      <c r="O328" s="113"/>
      <c r="P328" s="113"/>
      <c r="AC328" s="117"/>
      <c r="AD328" s="118"/>
    </row>
    <row r="329" ht="15.75" customHeight="1">
      <c r="M329" s="113"/>
      <c r="N329" s="113"/>
      <c r="O329" s="113"/>
      <c r="P329" s="113"/>
      <c r="AC329" s="117"/>
      <c r="AD329" s="118"/>
    </row>
    <row r="330" ht="15.75" customHeight="1">
      <c r="M330" s="113"/>
      <c r="N330" s="113"/>
      <c r="O330" s="113"/>
      <c r="P330" s="113"/>
      <c r="AC330" s="117"/>
      <c r="AD330" s="118"/>
    </row>
    <row r="331" ht="15.75" customHeight="1">
      <c r="M331" s="113"/>
      <c r="N331" s="113"/>
      <c r="O331" s="113"/>
      <c r="P331" s="113"/>
      <c r="AC331" s="117"/>
      <c r="AD331" s="118"/>
    </row>
    <row r="332" ht="15.75" customHeight="1">
      <c r="M332" s="113"/>
      <c r="N332" s="113"/>
      <c r="O332" s="113"/>
      <c r="P332" s="113"/>
      <c r="AC332" s="117"/>
      <c r="AD332" s="118"/>
    </row>
    <row r="333" ht="15.75" customHeight="1">
      <c r="M333" s="113"/>
      <c r="N333" s="113"/>
      <c r="O333" s="113"/>
      <c r="P333" s="113"/>
      <c r="AC333" s="117"/>
      <c r="AD333" s="118"/>
    </row>
    <row r="334" ht="15.75" customHeight="1">
      <c r="M334" s="113"/>
      <c r="N334" s="113"/>
      <c r="O334" s="113"/>
      <c r="P334" s="113"/>
      <c r="AC334" s="117"/>
      <c r="AD334" s="118"/>
    </row>
    <row r="335" ht="15.75" customHeight="1">
      <c r="M335" s="113"/>
      <c r="N335" s="113"/>
      <c r="O335" s="113"/>
      <c r="P335" s="113"/>
      <c r="AC335" s="117"/>
      <c r="AD335" s="118"/>
    </row>
    <row r="336" ht="15.75" customHeight="1">
      <c r="M336" s="113"/>
      <c r="N336" s="113"/>
      <c r="O336" s="113"/>
      <c r="P336" s="113"/>
      <c r="AC336" s="117"/>
      <c r="AD336" s="118"/>
    </row>
    <row r="337" ht="15.75" customHeight="1">
      <c r="M337" s="113"/>
      <c r="N337" s="113"/>
      <c r="O337" s="113"/>
      <c r="P337" s="113"/>
      <c r="AC337" s="117"/>
      <c r="AD337" s="118"/>
    </row>
    <row r="338" ht="15.75" customHeight="1">
      <c r="M338" s="113"/>
      <c r="N338" s="113"/>
      <c r="O338" s="113"/>
      <c r="P338" s="113"/>
      <c r="AC338" s="117"/>
      <c r="AD338" s="118"/>
    </row>
    <row r="339" ht="15.75" customHeight="1">
      <c r="M339" s="113"/>
      <c r="N339" s="113"/>
      <c r="O339" s="113"/>
      <c r="P339" s="113"/>
      <c r="AC339" s="117"/>
      <c r="AD339" s="118"/>
    </row>
    <row r="340" ht="15.75" customHeight="1">
      <c r="M340" s="113"/>
      <c r="N340" s="113"/>
      <c r="O340" s="113"/>
      <c r="P340" s="113"/>
      <c r="AC340" s="117"/>
      <c r="AD340" s="118"/>
    </row>
    <row r="341" ht="15.75" customHeight="1">
      <c r="M341" s="113"/>
      <c r="N341" s="113"/>
      <c r="O341" s="113"/>
      <c r="P341" s="113"/>
      <c r="AC341" s="117"/>
      <c r="AD341" s="118"/>
    </row>
    <row r="342" ht="15.75" customHeight="1">
      <c r="M342" s="113"/>
      <c r="N342" s="113"/>
      <c r="O342" s="113"/>
      <c r="P342" s="113"/>
      <c r="AC342" s="117"/>
      <c r="AD342" s="118"/>
    </row>
    <row r="343" ht="15.75" customHeight="1">
      <c r="M343" s="113"/>
      <c r="N343" s="113"/>
      <c r="O343" s="113"/>
      <c r="P343" s="113"/>
      <c r="AC343" s="117"/>
      <c r="AD343" s="118"/>
    </row>
    <row r="344" ht="15.75" customHeight="1">
      <c r="M344" s="113"/>
      <c r="N344" s="113"/>
      <c r="O344" s="113"/>
      <c r="P344" s="113"/>
      <c r="AC344" s="117"/>
      <c r="AD344" s="118"/>
    </row>
    <row r="345" ht="15.75" customHeight="1">
      <c r="M345" s="113"/>
      <c r="N345" s="113"/>
      <c r="O345" s="113"/>
      <c r="P345" s="113"/>
      <c r="AC345" s="117"/>
      <c r="AD345" s="118"/>
    </row>
    <row r="346" ht="15.75" customHeight="1">
      <c r="M346" s="113"/>
      <c r="N346" s="113"/>
      <c r="O346" s="113"/>
      <c r="P346" s="113"/>
      <c r="AC346" s="117"/>
      <c r="AD346" s="118"/>
    </row>
    <row r="347" ht="15.75" customHeight="1">
      <c r="M347" s="113"/>
      <c r="N347" s="113"/>
      <c r="O347" s="113"/>
      <c r="P347" s="113"/>
      <c r="AC347" s="117"/>
      <c r="AD347" s="118"/>
    </row>
    <row r="348" ht="15.75" customHeight="1">
      <c r="M348" s="113"/>
      <c r="N348" s="113"/>
      <c r="O348" s="113"/>
      <c r="P348" s="113"/>
      <c r="AC348" s="117"/>
      <c r="AD348" s="118"/>
    </row>
    <row r="349" ht="15.75" customHeight="1">
      <c r="M349" s="113"/>
      <c r="N349" s="113"/>
      <c r="O349" s="113"/>
      <c r="P349" s="113"/>
      <c r="AC349" s="117"/>
      <c r="AD349" s="118"/>
    </row>
    <row r="350" ht="15.75" customHeight="1">
      <c r="M350" s="113"/>
      <c r="N350" s="113"/>
      <c r="O350" s="113"/>
      <c r="P350" s="113"/>
      <c r="AC350" s="117"/>
      <c r="AD350" s="118"/>
    </row>
    <row r="351" ht="15.75" customHeight="1">
      <c r="M351" s="113"/>
      <c r="N351" s="113"/>
      <c r="O351" s="113"/>
      <c r="P351" s="113"/>
      <c r="AC351" s="117"/>
      <c r="AD351" s="118"/>
    </row>
    <row r="352" ht="15.75" customHeight="1">
      <c r="M352" s="113"/>
      <c r="N352" s="113"/>
      <c r="O352" s="113"/>
      <c r="P352" s="113"/>
      <c r="AC352" s="117"/>
      <c r="AD352" s="118"/>
    </row>
    <row r="353" ht="15.75" customHeight="1">
      <c r="M353" s="113"/>
      <c r="N353" s="113"/>
      <c r="O353" s="113"/>
      <c r="P353" s="113"/>
      <c r="AC353" s="117"/>
      <c r="AD353" s="118"/>
    </row>
    <row r="354" ht="15.75" customHeight="1">
      <c r="M354" s="113"/>
      <c r="N354" s="113"/>
      <c r="O354" s="113"/>
      <c r="P354" s="113"/>
      <c r="AC354" s="117"/>
      <c r="AD354" s="118"/>
    </row>
    <row r="355" ht="15.75" customHeight="1">
      <c r="M355" s="113"/>
      <c r="N355" s="113"/>
      <c r="O355" s="113"/>
      <c r="P355" s="113"/>
      <c r="AC355" s="117"/>
      <c r="AD355" s="118"/>
    </row>
    <row r="356" ht="15.75" customHeight="1">
      <c r="M356" s="113"/>
      <c r="N356" s="113"/>
      <c r="O356" s="113"/>
      <c r="P356" s="113"/>
      <c r="AC356" s="117"/>
      <c r="AD356" s="118"/>
    </row>
    <row r="357" ht="15.75" customHeight="1">
      <c r="M357" s="113"/>
      <c r="N357" s="113"/>
      <c r="O357" s="113"/>
      <c r="P357" s="113"/>
      <c r="AC357" s="117"/>
      <c r="AD357" s="118"/>
    </row>
    <row r="358" ht="15.75" customHeight="1">
      <c r="M358" s="113"/>
      <c r="N358" s="113"/>
      <c r="O358" s="113"/>
      <c r="P358" s="113"/>
      <c r="AC358" s="117"/>
      <c r="AD358" s="118"/>
    </row>
    <row r="359" ht="15.75" customHeight="1">
      <c r="M359" s="113"/>
      <c r="N359" s="113"/>
      <c r="O359" s="113"/>
      <c r="P359" s="113"/>
      <c r="AC359" s="117"/>
      <c r="AD359" s="118"/>
    </row>
    <row r="360" ht="15.75" customHeight="1">
      <c r="M360" s="113"/>
      <c r="N360" s="113"/>
      <c r="O360" s="113"/>
      <c r="P360" s="113"/>
      <c r="AC360" s="117"/>
      <c r="AD360" s="118"/>
    </row>
    <row r="361" ht="15.75" customHeight="1">
      <c r="M361" s="113"/>
      <c r="N361" s="113"/>
      <c r="O361" s="113"/>
      <c r="P361" s="113"/>
      <c r="AC361" s="117"/>
      <c r="AD361" s="118"/>
    </row>
    <row r="362" ht="15.75" customHeight="1">
      <c r="M362" s="113"/>
      <c r="N362" s="113"/>
      <c r="O362" s="113"/>
      <c r="P362" s="113"/>
      <c r="AC362" s="117"/>
      <c r="AD362" s="118"/>
    </row>
    <row r="363" ht="15.75" customHeight="1">
      <c r="M363" s="113"/>
      <c r="N363" s="113"/>
      <c r="O363" s="113"/>
      <c r="P363" s="113"/>
      <c r="AC363" s="117"/>
      <c r="AD363" s="118"/>
    </row>
    <row r="364" ht="15.75" customHeight="1">
      <c r="M364" s="113"/>
      <c r="N364" s="113"/>
      <c r="O364" s="113"/>
      <c r="P364" s="113"/>
      <c r="AC364" s="117"/>
      <c r="AD364" s="118"/>
    </row>
    <row r="365" ht="15.75" customHeight="1">
      <c r="M365" s="113"/>
      <c r="N365" s="113"/>
      <c r="O365" s="113"/>
      <c r="P365" s="113"/>
      <c r="AC365" s="117"/>
      <c r="AD365" s="118"/>
    </row>
    <row r="366" ht="15.75" customHeight="1">
      <c r="M366" s="113"/>
      <c r="N366" s="113"/>
      <c r="O366" s="113"/>
      <c r="P366" s="113"/>
      <c r="AC366" s="117"/>
      <c r="AD366" s="118"/>
    </row>
    <row r="367" ht="15.75" customHeight="1">
      <c r="M367" s="113"/>
      <c r="N367" s="113"/>
      <c r="O367" s="113"/>
      <c r="P367" s="113"/>
      <c r="AC367" s="117"/>
      <c r="AD367" s="118"/>
    </row>
    <row r="368" ht="15.75" customHeight="1">
      <c r="M368" s="113"/>
      <c r="N368" s="113"/>
      <c r="O368" s="113"/>
      <c r="P368" s="113"/>
      <c r="AC368" s="117"/>
      <c r="AD368" s="118"/>
    </row>
    <row r="369" ht="15.75" customHeight="1">
      <c r="M369" s="113"/>
      <c r="N369" s="113"/>
      <c r="O369" s="113"/>
      <c r="P369" s="113"/>
      <c r="AC369" s="117"/>
      <c r="AD369" s="118"/>
    </row>
    <row r="370" ht="15.75" customHeight="1">
      <c r="M370" s="113"/>
      <c r="N370" s="113"/>
      <c r="O370" s="113"/>
      <c r="P370" s="113"/>
      <c r="AC370" s="117"/>
      <c r="AD370" s="118"/>
    </row>
    <row r="371" ht="15.75" customHeight="1">
      <c r="M371" s="113"/>
      <c r="N371" s="113"/>
      <c r="O371" s="113"/>
      <c r="P371" s="113"/>
      <c r="AC371" s="117"/>
      <c r="AD371" s="118"/>
    </row>
    <row r="372" ht="15.75" customHeight="1">
      <c r="M372" s="113"/>
      <c r="N372" s="113"/>
      <c r="O372" s="113"/>
      <c r="P372" s="113"/>
      <c r="AC372" s="117"/>
      <c r="AD372" s="118"/>
    </row>
    <row r="373" ht="15.75" customHeight="1">
      <c r="M373" s="113"/>
      <c r="N373" s="113"/>
      <c r="O373" s="113"/>
      <c r="P373" s="113"/>
      <c r="AC373" s="117"/>
      <c r="AD373" s="118"/>
    </row>
    <row r="374" ht="15.75" customHeight="1">
      <c r="M374" s="113"/>
      <c r="N374" s="113"/>
      <c r="O374" s="113"/>
      <c r="P374" s="113"/>
      <c r="AC374" s="117"/>
      <c r="AD374" s="118"/>
    </row>
    <row r="375" ht="15.75" customHeight="1">
      <c r="M375" s="113"/>
      <c r="N375" s="113"/>
      <c r="O375" s="113"/>
      <c r="P375" s="113"/>
      <c r="AC375" s="117"/>
      <c r="AD375" s="118"/>
    </row>
    <row r="376" ht="15.75" customHeight="1">
      <c r="M376" s="113"/>
      <c r="N376" s="113"/>
      <c r="O376" s="113"/>
      <c r="P376" s="113"/>
      <c r="AC376" s="117"/>
      <c r="AD376" s="118"/>
    </row>
    <row r="377" ht="15.75" customHeight="1">
      <c r="M377" s="113"/>
      <c r="N377" s="113"/>
      <c r="O377" s="113"/>
      <c r="P377" s="113"/>
      <c r="AC377" s="117"/>
      <c r="AD377" s="118"/>
    </row>
    <row r="378" ht="15.75" customHeight="1">
      <c r="M378" s="113"/>
      <c r="N378" s="113"/>
      <c r="O378" s="113"/>
      <c r="P378" s="113"/>
      <c r="AC378" s="117"/>
      <c r="AD378" s="118"/>
    </row>
    <row r="379" ht="15.75" customHeight="1">
      <c r="M379" s="113"/>
      <c r="N379" s="113"/>
      <c r="O379" s="113"/>
      <c r="P379" s="113"/>
      <c r="AC379" s="117"/>
      <c r="AD379" s="118"/>
    </row>
    <row r="380" ht="15.75" customHeight="1">
      <c r="M380" s="113"/>
      <c r="N380" s="113"/>
      <c r="O380" s="113"/>
      <c r="P380" s="113"/>
      <c r="AC380" s="117"/>
      <c r="AD380" s="118"/>
    </row>
    <row r="381" ht="15.75" customHeight="1">
      <c r="M381" s="113"/>
      <c r="N381" s="113"/>
      <c r="O381" s="113"/>
      <c r="P381" s="113"/>
      <c r="AC381" s="117"/>
      <c r="AD381" s="118"/>
    </row>
    <row r="382" ht="15.75" customHeight="1">
      <c r="M382" s="113"/>
      <c r="N382" s="113"/>
      <c r="O382" s="113"/>
      <c r="P382" s="113"/>
      <c r="AC382" s="117"/>
      <c r="AD382" s="118"/>
    </row>
    <row r="383" ht="15.75" customHeight="1">
      <c r="M383" s="113"/>
      <c r="N383" s="113"/>
      <c r="O383" s="113"/>
      <c r="P383" s="113"/>
      <c r="AC383" s="117"/>
      <c r="AD383" s="118"/>
    </row>
    <row r="384" ht="15.75" customHeight="1">
      <c r="M384" s="113"/>
      <c r="N384" s="113"/>
      <c r="O384" s="113"/>
      <c r="P384" s="113"/>
      <c r="AC384" s="117"/>
      <c r="AD384" s="118"/>
    </row>
    <row r="385" ht="15.75" customHeight="1">
      <c r="M385" s="113"/>
      <c r="N385" s="113"/>
      <c r="O385" s="113"/>
      <c r="P385" s="113"/>
      <c r="AC385" s="117"/>
      <c r="AD385" s="118"/>
    </row>
    <row r="386" ht="15.75" customHeight="1">
      <c r="M386" s="113"/>
      <c r="N386" s="113"/>
      <c r="O386" s="113"/>
      <c r="P386" s="113"/>
      <c r="AC386" s="117"/>
      <c r="AD386" s="118"/>
    </row>
    <row r="387" ht="15.75" customHeight="1">
      <c r="M387" s="113"/>
      <c r="N387" s="113"/>
      <c r="O387" s="113"/>
      <c r="P387" s="113"/>
      <c r="AC387" s="117"/>
      <c r="AD387" s="118"/>
    </row>
    <row r="388" ht="15.75" customHeight="1">
      <c r="M388" s="113"/>
      <c r="N388" s="113"/>
      <c r="O388" s="113"/>
      <c r="P388" s="113"/>
      <c r="AC388" s="117"/>
      <c r="AD388" s="118"/>
    </row>
    <row r="389" ht="15.75" customHeight="1">
      <c r="M389" s="113"/>
      <c r="N389" s="113"/>
      <c r="O389" s="113"/>
      <c r="P389" s="113"/>
      <c r="AC389" s="117"/>
      <c r="AD389" s="118"/>
    </row>
    <row r="390" ht="15.75" customHeight="1">
      <c r="M390" s="113"/>
      <c r="N390" s="113"/>
      <c r="O390" s="113"/>
      <c r="P390" s="113"/>
      <c r="AC390" s="117"/>
      <c r="AD390" s="118"/>
    </row>
    <row r="391" ht="15.75" customHeight="1">
      <c r="M391" s="113"/>
      <c r="N391" s="113"/>
      <c r="O391" s="113"/>
      <c r="P391" s="113"/>
      <c r="AC391" s="117"/>
      <c r="AD391" s="118"/>
    </row>
    <row r="392" ht="15.75" customHeight="1">
      <c r="M392" s="113"/>
      <c r="N392" s="113"/>
      <c r="O392" s="113"/>
      <c r="P392" s="113"/>
      <c r="AC392" s="117"/>
      <c r="AD392" s="118"/>
    </row>
    <row r="393" ht="15.75" customHeight="1">
      <c r="M393" s="113"/>
      <c r="N393" s="113"/>
      <c r="O393" s="113"/>
      <c r="P393" s="113"/>
      <c r="AC393" s="117"/>
      <c r="AD393" s="118"/>
    </row>
    <row r="394" ht="15.75" customHeight="1">
      <c r="M394" s="113"/>
      <c r="N394" s="113"/>
      <c r="O394" s="113"/>
      <c r="P394" s="113"/>
      <c r="AC394" s="117"/>
      <c r="AD394" s="118"/>
    </row>
    <row r="395" ht="15.75" customHeight="1">
      <c r="M395" s="113"/>
      <c r="N395" s="113"/>
      <c r="O395" s="113"/>
      <c r="P395" s="113"/>
      <c r="AC395" s="117"/>
      <c r="AD395" s="118"/>
    </row>
    <row r="396" ht="15.75" customHeight="1">
      <c r="M396" s="113"/>
      <c r="N396" s="113"/>
      <c r="O396" s="113"/>
      <c r="P396" s="113"/>
      <c r="AC396" s="117"/>
      <c r="AD396" s="118"/>
    </row>
    <row r="397" ht="15.75" customHeight="1">
      <c r="M397" s="113"/>
      <c r="N397" s="113"/>
      <c r="O397" s="113"/>
      <c r="P397" s="113"/>
      <c r="AC397" s="117"/>
      <c r="AD397" s="118"/>
    </row>
    <row r="398" ht="15.75" customHeight="1">
      <c r="M398" s="113"/>
      <c r="N398" s="113"/>
      <c r="O398" s="113"/>
      <c r="P398" s="113"/>
      <c r="AC398" s="117"/>
      <c r="AD398" s="118"/>
    </row>
    <row r="399" ht="15.75" customHeight="1">
      <c r="M399" s="113"/>
      <c r="N399" s="113"/>
      <c r="O399" s="113"/>
      <c r="P399" s="113"/>
      <c r="AC399" s="117"/>
      <c r="AD399" s="118"/>
    </row>
    <row r="400" ht="15.75" customHeight="1">
      <c r="M400" s="113"/>
      <c r="N400" s="113"/>
      <c r="O400" s="113"/>
      <c r="P400" s="113"/>
      <c r="AC400" s="117"/>
      <c r="AD400" s="118"/>
    </row>
    <row r="401" ht="15.75" customHeight="1">
      <c r="M401" s="113"/>
      <c r="N401" s="113"/>
      <c r="O401" s="113"/>
      <c r="P401" s="113"/>
      <c r="AC401" s="117"/>
      <c r="AD401" s="118"/>
    </row>
    <row r="402" ht="15.75" customHeight="1">
      <c r="M402" s="113"/>
      <c r="N402" s="113"/>
      <c r="O402" s="113"/>
      <c r="P402" s="113"/>
      <c r="AC402" s="117"/>
      <c r="AD402" s="118"/>
    </row>
    <row r="403" ht="15.75" customHeight="1">
      <c r="M403" s="113"/>
      <c r="N403" s="113"/>
      <c r="O403" s="113"/>
      <c r="P403" s="113"/>
      <c r="AC403" s="117"/>
      <c r="AD403" s="118"/>
    </row>
    <row r="404" ht="15.75" customHeight="1">
      <c r="M404" s="113"/>
      <c r="N404" s="113"/>
      <c r="O404" s="113"/>
      <c r="P404" s="113"/>
      <c r="AC404" s="117"/>
      <c r="AD404" s="118"/>
    </row>
    <row r="405" ht="15.75" customHeight="1">
      <c r="M405" s="113"/>
      <c r="N405" s="113"/>
      <c r="O405" s="113"/>
      <c r="P405" s="113"/>
      <c r="AC405" s="117"/>
      <c r="AD405" s="118"/>
    </row>
    <row r="406" ht="15.75" customHeight="1">
      <c r="M406" s="113"/>
      <c r="N406" s="113"/>
      <c r="O406" s="113"/>
      <c r="P406" s="113"/>
      <c r="AC406" s="117"/>
      <c r="AD406" s="118"/>
    </row>
    <row r="407" ht="15.75" customHeight="1">
      <c r="M407" s="113"/>
      <c r="N407" s="113"/>
      <c r="O407" s="113"/>
      <c r="P407" s="113"/>
      <c r="AC407" s="117"/>
      <c r="AD407" s="118"/>
    </row>
    <row r="408" ht="15.75" customHeight="1">
      <c r="M408" s="113"/>
      <c r="N408" s="113"/>
      <c r="O408" s="113"/>
      <c r="P408" s="113"/>
      <c r="AC408" s="117"/>
      <c r="AD408" s="118"/>
    </row>
    <row r="409" ht="15.75" customHeight="1">
      <c r="M409" s="113"/>
      <c r="N409" s="113"/>
      <c r="O409" s="113"/>
      <c r="P409" s="113"/>
      <c r="AC409" s="117"/>
      <c r="AD409" s="118"/>
    </row>
    <row r="410" ht="15.75" customHeight="1">
      <c r="M410" s="113"/>
      <c r="N410" s="113"/>
      <c r="O410" s="113"/>
      <c r="P410" s="113"/>
      <c r="AC410" s="117"/>
      <c r="AD410" s="118"/>
    </row>
    <row r="411" ht="15.75" customHeight="1">
      <c r="M411" s="113"/>
      <c r="N411" s="113"/>
      <c r="O411" s="113"/>
      <c r="P411" s="113"/>
      <c r="AC411" s="117"/>
      <c r="AD411" s="118"/>
    </row>
    <row r="412" ht="15.75" customHeight="1">
      <c r="M412" s="113"/>
      <c r="N412" s="113"/>
      <c r="O412" s="113"/>
      <c r="P412" s="113"/>
      <c r="AC412" s="117"/>
      <c r="AD412" s="118"/>
    </row>
    <row r="413" ht="15.75" customHeight="1">
      <c r="M413" s="113"/>
      <c r="N413" s="113"/>
      <c r="O413" s="113"/>
      <c r="P413" s="113"/>
      <c r="AC413" s="117"/>
      <c r="AD413" s="118"/>
    </row>
    <row r="414" ht="15.75" customHeight="1">
      <c r="M414" s="113"/>
      <c r="N414" s="113"/>
      <c r="O414" s="113"/>
      <c r="P414" s="113"/>
      <c r="AC414" s="117"/>
      <c r="AD414" s="118"/>
    </row>
    <row r="415" ht="15.75" customHeight="1">
      <c r="M415" s="113"/>
      <c r="N415" s="113"/>
      <c r="O415" s="113"/>
      <c r="P415" s="113"/>
      <c r="AC415" s="117"/>
      <c r="AD415" s="118"/>
    </row>
    <row r="416" ht="15.75" customHeight="1">
      <c r="M416" s="113"/>
      <c r="N416" s="113"/>
      <c r="O416" s="113"/>
      <c r="P416" s="113"/>
      <c r="AC416" s="117"/>
      <c r="AD416" s="118"/>
    </row>
    <row r="417" ht="15.75" customHeight="1">
      <c r="M417" s="113"/>
      <c r="N417" s="113"/>
      <c r="O417" s="113"/>
      <c r="P417" s="113"/>
      <c r="AC417" s="117"/>
      <c r="AD417" s="118"/>
    </row>
    <row r="418" ht="15.75" customHeight="1">
      <c r="M418" s="113"/>
      <c r="N418" s="113"/>
      <c r="O418" s="113"/>
      <c r="P418" s="113"/>
      <c r="AC418" s="117"/>
      <c r="AD418" s="118"/>
    </row>
    <row r="419" ht="15.75" customHeight="1">
      <c r="M419" s="113"/>
      <c r="N419" s="113"/>
      <c r="O419" s="113"/>
      <c r="P419" s="113"/>
      <c r="AC419" s="117"/>
      <c r="AD419" s="118"/>
    </row>
    <row r="420" ht="15.75" customHeight="1">
      <c r="M420" s="113"/>
      <c r="N420" s="113"/>
      <c r="O420" s="113"/>
      <c r="P420" s="113"/>
      <c r="AC420" s="117"/>
      <c r="AD420" s="118"/>
    </row>
    <row r="421" ht="15.75" customHeight="1">
      <c r="M421" s="113"/>
      <c r="N421" s="113"/>
      <c r="O421" s="113"/>
      <c r="P421" s="113"/>
      <c r="AC421" s="117"/>
      <c r="AD421" s="118"/>
    </row>
    <row r="422" ht="15.75" customHeight="1">
      <c r="M422" s="113"/>
      <c r="N422" s="113"/>
      <c r="O422" s="113"/>
      <c r="P422" s="113"/>
      <c r="AC422" s="117"/>
      <c r="AD422" s="118"/>
    </row>
    <row r="423" ht="15.75" customHeight="1">
      <c r="M423" s="113"/>
      <c r="N423" s="113"/>
      <c r="O423" s="113"/>
      <c r="P423" s="113"/>
      <c r="AC423" s="117"/>
      <c r="AD423" s="118"/>
    </row>
    <row r="424" ht="15.75" customHeight="1">
      <c r="M424" s="113"/>
      <c r="N424" s="113"/>
      <c r="O424" s="113"/>
      <c r="P424" s="113"/>
      <c r="AC424" s="117"/>
      <c r="AD424" s="118"/>
    </row>
    <row r="425" ht="15.75" customHeight="1">
      <c r="M425" s="113"/>
      <c r="N425" s="113"/>
      <c r="O425" s="113"/>
      <c r="P425" s="113"/>
      <c r="AC425" s="117"/>
      <c r="AD425" s="118"/>
    </row>
    <row r="426" ht="15.75" customHeight="1">
      <c r="M426" s="113"/>
      <c r="N426" s="113"/>
      <c r="O426" s="113"/>
      <c r="P426" s="113"/>
      <c r="AC426" s="117"/>
      <c r="AD426" s="118"/>
    </row>
    <row r="427" ht="15.75" customHeight="1">
      <c r="M427" s="113"/>
      <c r="N427" s="113"/>
      <c r="O427" s="113"/>
      <c r="P427" s="113"/>
      <c r="AC427" s="117"/>
      <c r="AD427" s="118"/>
    </row>
    <row r="428" ht="15.75" customHeight="1">
      <c r="M428" s="113"/>
      <c r="N428" s="113"/>
      <c r="O428" s="113"/>
      <c r="P428" s="113"/>
      <c r="AC428" s="117"/>
      <c r="AD428" s="118"/>
    </row>
    <row r="429" ht="15.75" customHeight="1">
      <c r="M429" s="113"/>
      <c r="N429" s="113"/>
      <c r="O429" s="113"/>
      <c r="P429" s="113"/>
      <c r="AC429" s="117"/>
      <c r="AD429" s="118"/>
    </row>
    <row r="430" ht="15.75" customHeight="1">
      <c r="M430" s="113"/>
      <c r="N430" s="113"/>
      <c r="O430" s="113"/>
      <c r="P430" s="113"/>
      <c r="AC430" s="117"/>
      <c r="AD430" s="118"/>
    </row>
    <row r="431" ht="15.75" customHeight="1">
      <c r="M431" s="113"/>
      <c r="N431" s="113"/>
      <c r="O431" s="113"/>
      <c r="P431" s="113"/>
      <c r="AC431" s="117"/>
      <c r="AD431" s="118"/>
    </row>
    <row r="432" ht="15.75" customHeight="1">
      <c r="M432" s="113"/>
      <c r="N432" s="113"/>
      <c r="O432" s="113"/>
      <c r="P432" s="113"/>
      <c r="AC432" s="117"/>
      <c r="AD432" s="118"/>
    </row>
    <row r="433" ht="15.75" customHeight="1">
      <c r="M433" s="113"/>
      <c r="N433" s="113"/>
      <c r="O433" s="113"/>
      <c r="P433" s="113"/>
      <c r="AC433" s="117"/>
      <c r="AD433" s="118"/>
    </row>
    <row r="434" ht="15.75" customHeight="1">
      <c r="M434" s="113"/>
      <c r="N434" s="113"/>
      <c r="O434" s="113"/>
      <c r="P434" s="113"/>
      <c r="AC434" s="117"/>
      <c r="AD434" s="118"/>
    </row>
    <row r="435" ht="15.75" customHeight="1">
      <c r="M435" s="113"/>
      <c r="N435" s="113"/>
      <c r="O435" s="113"/>
      <c r="P435" s="113"/>
      <c r="AC435" s="117"/>
      <c r="AD435" s="118"/>
    </row>
    <row r="436" ht="15.75" customHeight="1">
      <c r="M436" s="113"/>
      <c r="N436" s="113"/>
      <c r="O436" s="113"/>
      <c r="P436" s="113"/>
      <c r="AC436" s="117"/>
      <c r="AD436" s="118"/>
    </row>
    <row r="437" ht="15.75" customHeight="1">
      <c r="M437" s="113"/>
      <c r="N437" s="113"/>
      <c r="O437" s="113"/>
      <c r="P437" s="113"/>
      <c r="AC437" s="117"/>
      <c r="AD437" s="118"/>
    </row>
    <row r="438" ht="15.75" customHeight="1">
      <c r="M438" s="113"/>
      <c r="N438" s="113"/>
      <c r="O438" s="113"/>
      <c r="P438" s="113"/>
      <c r="AC438" s="117"/>
      <c r="AD438" s="118"/>
    </row>
    <row r="439" ht="15.75" customHeight="1">
      <c r="M439" s="113"/>
      <c r="N439" s="113"/>
      <c r="O439" s="113"/>
      <c r="P439" s="113"/>
      <c r="AC439" s="117"/>
      <c r="AD439" s="118"/>
    </row>
    <row r="440" ht="15.75" customHeight="1">
      <c r="M440" s="113"/>
      <c r="N440" s="113"/>
      <c r="O440" s="113"/>
      <c r="P440" s="113"/>
      <c r="AC440" s="117"/>
      <c r="AD440" s="118"/>
    </row>
    <row r="441" ht="15.75" customHeight="1">
      <c r="M441" s="113"/>
      <c r="N441" s="113"/>
      <c r="O441" s="113"/>
      <c r="P441" s="113"/>
      <c r="AC441" s="117"/>
      <c r="AD441" s="118"/>
    </row>
    <row r="442" ht="15.75" customHeight="1">
      <c r="M442" s="113"/>
      <c r="N442" s="113"/>
      <c r="O442" s="113"/>
      <c r="P442" s="113"/>
      <c r="AC442" s="117"/>
      <c r="AD442" s="118"/>
    </row>
    <row r="443" ht="15.75" customHeight="1">
      <c r="M443" s="113"/>
      <c r="N443" s="113"/>
      <c r="O443" s="113"/>
      <c r="P443" s="113"/>
      <c r="AC443" s="117"/>
      <c r="AD443" s="118"/>
    </row>
    <row r="444" ht="15.75" customHeight="1">
      <c r="M444" s="113"/>
      <c r="N444" s="113"/>
      <c r="O444" s="113"/>
      <c r="P444" s="113"/>
      <c r="AC444" s="117"/>
      <c r="AD444" s="118"/>
    </row>
    <row r="445" ht="15.75" customHeight="1">
      <c r="M445" s="113"/>
      <c r="N445" s="113"/>
      <c r="O445" s="113"/>
      <c r="P445" s="113"/>
      <c r="AC445" s="117"/>
      <c r="AD445" s="118"/>
    </row>
    <row r="446" ht="15.75" customHeight="1">
      <c r="M446" s="113"/>
      <c r="N446" s="113"/>
      <c r="O446" s="113"/>
      <c r="P446" s="113"/>
      <c r="AC446" s="117"/>
      <c r="AD446" s="118"/>
    </row>
    <row r="447" ht="15.75" customHeight="1">
      <c r="M447" s="113"/>
      <c r="N447" s="113"/>
      <c r="O447" s="113"/>
      <c r="P447" s="113"/>
      <c r="AC447" s="117"/>
      <c r="AD447" s="118"/>
    </row>
    <row r="448" ht="15.75" customHeight="1">
      <c r="M448" s="113"/>
      <c r="N448" s="113"/>
      <c r="O448" s="113"/>
      <c r="P448" s="113"/>
      <c r="AC448" s="117"/>
      <c r="AD448" s="118"/>
    </row>
    <row r="449" ht="15.75" customHeight="1">
      <c r="M449" s="113"/>
      <c r="N449" s="113"/>
      <c r="O449" s="113"/>
      <c r="P449" s="113"/>
      <c r="AC449" s="117"/>
      <c r="AD449" s="118"/>
    </row>
    <row r="450" ht="15.75" customHeight="1">
      <c r="M450" s="113"/>
      <c r="N450" s="113"/>
      <c r="O450" s="113"/>
      <c r="P450" s="113"/>
      <c r="AC450" s="117"/>
      <c r="AD450" s="118"/>
    </row>
    <row r="451" ht="15.75" customHeight="1">
      <c r="M451" s="113"/>
      <c r="N451" s="113"/>
      <c r="O451" s="113"/>
      <c r="P451" s="113"/>
      <c r="AC451" s="117"/>
      <c r="AD451" s="118"/>
    </row>
    <row r="452" ht="15.75" customHeight="1">
      <c r="M452" s="113"/>
      <c r="N452" s="113"/>
      <c r="O452" s="113"/>
      <c r="P452" s="113"/>
      <c r="AC452" s="117"/>
      <c r="AD452" s="118"/>
    </row>
    <row r="453" ht="15.75" customHeight="1">
      <c r="M453" s="113"/>
      <c r="N453" s="113"/>
      <c r="O453" s="113"/>
      <c r="P453" s="113"/>
      <c r="AC453" s="117"/>
      <c r="AD453" s="118"/>
    </row>
    <row r="454" ht="15.75" customHeight="1">
      <c r="M454" s="113"/>
      <c r="N454" s="113"/>
      <c r="O454" s="113"/>
      <c r="P454" s="113"/>
      <c r="AC454" s="117"/>
      <c r="AD454" s="118"/>
    </row>
    <row r="455" ht="15.75" customHeight="1">
      <c r="M455" s="113"/>
      <c r="N455" s="113"/>
      <c r="O455" s="113"/>
      <c r="P455" s="113"/>
      <c r="AC455" s="117"/>
      <c r="AD455" s="118"/>
    </row>
    <row r="456" ht="15.75" customHeight="1">
      <c r="M456" s="113"/>
      <c r="N456" s="113"/>
      <c r="O456" s="113"/>
      <c r="P456" s="113"/>
      <c r="AC456" s="117"/>
      <c r="AD456" s="118"/>
    </row>
    <row r="457" ht="15.75" customHeight="1">
      <c r="M457" s="113"/>
      <c r="N457" s="113"/>
      <c r="O457" s="113"/>
      <c r="P457" s="113"/>
      <c r="AC457" s="117"/>
      <c r="AD457" s="118"/>
    </row>
    <row r="458" ht="15.75" customHeight="1">
      <c r="M458" s="113"/>
      <c r="N458" s="113"/>
      <c r="O458" s="113"/>
      <c r="P458" s="113"/>
      <c r="AC458" s="117"/>
      <c r="AD458" s="118"/>
    </row>
    <row r="459" ht="15.75" customHeight="1">
      <c r="M459" s="113"/>
      <c r="N459" s="113"/>
      <c r="O459" s="113"/>
      <c r="P459" s="113"/>
      <c r="AC459" s="117"/>
      <c r="AD459" s="118"/>
    </row>
    <row r="460" ht="15.75" customHeight="1">
      <c r="M460" s="113"/>
      <c r="N460" s="113"/>
      <c r="O460" s="113"/>
      <c r="P460" s="113"/>
      <c r="AC460" s="117"/>
      <c r="AD460" s="118"/>
    </row>
    <row r="461" ht="15.75" customHeight="1">
      <c r="M461" s="113"/>
      <c r="N461" s="113"/>
      <c r="O461" s="113"/>
      <c r="P461" s="113"/>
      <c r="AC461" s="117"/>
      <c r="AD461" s="118"/>
    </row>
    <row r="462" ht="15.75" customHeight="1">
      <c r="M462" s="113"/>
      <c r="N462" s="113"/>
      <c r="O462" s="113"/>
      <c r="P462" s="113"/>
      <c r="AC462" s="117"/>
      <c r="AD462" s="118"/>
    </row>
    <row r="463" ht="15.75" customHeight="1">
      <c r="M463" s="113"/>
      <c r="N463" s="113"/>
      <c r="O463" s="113"/>
      <c r="P463" s="113"/>
      <c r="AC463" s="117"/>
      <c r="AD463" s="118"/>
    </row>
    <row r="464" ht="15.75" customHeight="1">
      <c r="M464" s="113"/>
      <c r="N464" s="113"/>
      <c r="O464" s="113"/>
      <c r="P464" s="113"/>
      <c r="AC464" s="117"/>
      <c r="AD464" s="118"/>
    </row>
    <row r="465" ht="15.75" customHeight="1">
      <c r="M465" s="113"/>
      <c r="N465" s="113"/>
      <c r="O465" s="113"/>
      <c r="P465" s="113"/>
      <c r="AC465" s="117"/>
      <c r="AD465" s="118"/>
    </row>
    <row r="466" ht="15.75" customHeight="1">
      <c r="M466" s="113"/>
      <c r="N466" s="113"/>
      <c r="O466" s="113"/>
      <c r="P466" s="113"/>
      <c r="AC466" s="117"/>
      <c r="AD466" s="118"/>
    </row>
    <row r="467" ht="15.75" customHeight="1">
      <c r="M467" s="113"/>
      <c r="N467" s="113"/>
      <c r="O467" s="113"/>
      <c r="P467" s="113"/>
      <c r="AC467" s="117"/>
      <c r="AD467" s="118"/>
    </row>
    <row r="468" ht="15.75" customHeight="1">
      <c r="M468" s="113"/>
      <c r="N468" s="113"/>
      <c r="O468" s="113"/>
      <c r="P468" s="113"/>
      <c r="AC468" s="117"/>
      <c r="AD468" s="118"/>
    </row>
    <row r="469" ht="15.75" customHeight="1">
      <c r="M469" s="113"/>
      <c r="N469" s="113"/>
      <c r="O469" s="113"/>
      <c r="P469" s="113"/>
      <c r="AC469" s="117"/>
      <c r="AD469" s="118"/>
    </row>
    <row r="470" ht="15.75" customHeight="1">
      <c r="M470" s="113"/>
      <c r="N470" s="113"/>
      <c r="O470" s="113"/>
      <c r="P470" s="113"/>
      <c r="AC470" s="117"/>
      <c r="AD470" s="118"/>
    </row>
    <row r="471" ht="15.75" customHeight="1">
      <c r="M471" s="113"/>
      <c r="N471" s="113"/>
      <c r="O471" s="113"/>
      <c r="P471" s="113"/>
      <c r="AC471" s="117"/>
      <c r="AD471" s="118"/>
    </row>
    <row r="472" ht="15.75" customHeight="1">
      <c r="M472" s="113"/>
      <c r="N472" s="113"/>
      <c r="O472" s="113"/>
      <c r="P472" s="113"/>
      <c r="AC472" s="117"/>
      <c r="AD472" s="118"/>
    </row>
    <row r="473" ht="15.75" customHeight="1">
      <c r="M473" s="113"/>
      <c r="N473" s="113"/>
      <c r="O473" s="113"/>
      <c r="P473" s="113"/>
      <c r="AC473" s="117"/>
      <c r="AD473" s="118"/>
    </row>
    <row r="474" ht="15.75" customHeight="1">
      <c r="M474" s="113"/>
      <c r="N474" s="113"/>
      <c r="O474" s="113"/>
      <c r="P474" s="113"/>
      <c r="AC474" s="117"/>
      <c r="AD474" s="118"/>
    </row>
    <row r="475" ht="15.75" customHeight="1">
      <c r="M475" s="113"/>
      <c r="N475" s="113"/>
      <c r="O475" s="113"/>
      <c r="P475" s="113"/>
      <c r="AC475" s="117"/>
      <c r="AD475" s="118"/>
    </row>
    <row r="476" ht="15.75" customHeight="1">
      <c r="M476" s="113"/>
      <c r="N476" s="113"/>
      <c r="O476" s="113"/>
      <c r="P476" s="113"/>
      <c r="AC476" s="117"/>
      <c r="AD476" s="118"/>
    </row>
    <row r="477" ht="15.75" customHeight="1">
      <c r="M477" s="113"/>
      <c r="N477" s="113"/>
      <c r="O477" s="113"/>
      <c r="P477" s="113"/>
      <c r="AC477" s="117"/>
      <c r="AD477" s="118"/>
    </row>
    <row r="478" ht="15.75" customHeight="1">
      <c r="M478" s="113"/>
      <c r="N478" s="113"/>
      <c r="O478" s="113"/>
      <c r="P478" s="113"/>
      <c r="AC478" s="117"/>
      <c r="AD478" s="118"/>
    </row>
    <row r="479" ht="15.75" customHeight="1">
      <c r="M479" s="113"/>
      <c r="N479" s="113"/>
      <c r="O479" s="113"/>
      <c r="P479" s="113"/>
      <c r="AC479" s="117"/>
      <c r="AD479" s="118"/>
    </row>
    <row r="480" ht="15.75" customHeight="1">
      <c r="M480" s="113"/>
      <c r="N480" s="113"/>
      <c r="O480" s="113"/>
      <c r="P480" s="113"/>
      <c r="AC480" s="117"/>
      <c r="AD480" s="118"/>
    </row>
    <row r="481" ht="15.75" customHeight="1">
      <c r="M481" s="113"/>
      <c r="N481" s="113"/>
      <c r="O481" s="113"/>
      <c r="P481" s="113"/>
      <c r="AC481" s="117"/>
      <c r="AD481" s="118"/>
    </row>
    <row r="482" ht="15.75" customHeight="1">
      <c r="M482" s="113"/>
      <c r="N482" s="113"/>
      <c r="O482" s="113"/>
      <c r="P482" s="113"/>
      <c r="AC482" s="117"/>
      <c r="AD482" s="118"/>
    </row>
    <row r="483" ht="15.75" customHeight="1">
      <c r="M483" s="113"/>
      <c r="N483" s="113"/>
      <c r="O483" s="113"/>
      <c r="P483" s="113"/>
      <c r="AC483" s="117"/>
      <c r="AD483" s="118"/>
    </row>
    <row r="484" ht="15.75" customHeight="1">
      <c r="M484" s="113"/>
      <c r="N484" s="113"/>
      <c r="O484" s="113"/>
      <c r="P484" s="113"/>
      <c r="AC484" s="117"/>
      <c r="AD484" s="118"/>
    </row>
    <row r="485" ht="15.75" customHeight="1">
      <c r="M485" s="113"/>
      <c r="N485" s="113"/>
      <c r="O485" s="113"/>
      <c r="P485" s="113"/>
      <c r="AC485" s="117"/>
      <c r="AD485" s="118"/>
    </row>
    <row r="486" ht="15.75" customHeight="1">
      <c r="M486" s="113"/>
      <c r="N486" s="113"/>
      <c r="O486" s="113"/>
      <c r="P486" s="113"/>
      <c r="AC486" s="117"/>
      <c r="AD486" s="118"/>
    </row>
    <row r="487" ht="15.75" customHeight="1">
      <c r="M487" s="113"/>
      <c r="N487" s="113"/>
      <c r="O487" s="113"/>
      <c r="P487" s="113"/>
      <c r="AC487" s="117"/>
      <c r="AD487" s="118"/>
    </row>
    <row r="488" ht="15.75" customHeight="1">
      <c r="M488" s="113"/>
      <c r="N488" s="113"/>
      <c r="O488" s="113"/>
      <c r="P488" s="113"/>
      <c r="AC488" s="117"/>
      <c r="AD488" s="118"/>
    </row>
    <row r="489" ht="15.75" customHeight="1">
      <c r="M489" s="113"/>
      <c r="N489" s="113"/>
      <c r="O489" s="113"/>
      <c r="P489" s="113"/>
      <c r="AC489" s="117"/>
      <c r="AD489" s="118"/>
    </row>
    <row r="490" ht="15.75" customHeight="1">
      <c r="M490" s="113"/>
      <c r="N490" s="113"/>
      <c r="O490" s="113"/>
      <c r="P490" s="113"/>
      <c r="AC490" s="117"/>
      <c r="AD490" s="118"/>
    </row>
    <row r="491" ht="15.75" customHeight="1">
      <c r="M491" s="113"/>
      <c r="N491" s="113"/>
      <c r="O491" s="113"/>
      <c r="P491" s="113"/>
      <c r="AC491" s="117"/>
      <c r="AD491" s="118"/>
    </row>
    <row r="492" ht="15.75" customHeight="1">
      <c r="M492" s="113"/>
      <c r="N492" s="113"/>
      <c r="O492" s="113"/>
      <c r="P492" s="113"/>
      <c r="AC492" s="117"/>
      <c r="AD492" s="118"/>
    </row>
    <row r="493" ht="15.75" customHeight="1">
      <c r="M493" s="113"/>
      <c r="N493" s="113"/>
      <c r="O493" s="113"/>
      <c r="P493" s="113"/>
      <c r="AC493" s="117"/>
      <c r="AD493" s="118"/>
    </row>
    <row r="494" ht="15.75" customHeight="1">
      <c r="M494" s="113"/>
      <c r="N494" s="113"/>
      <c r="O494" s="113"/>
      <c r="P494" s="113"/>
      <c r="AC494" s="117"/>
      <c r="AD494" s="118"/>
    </row>
    <row r="495" ht="15.75" customHeight="1">
      <c r="M495" s="113"/>
      <c r="N495" s="113"/>
      <c r="O495" s="113"/>
      <c r="P495" s="113"/>
      <c r="AC495" s="117"/>
      <c r="AD495" s="118"/>
    </row>
    <row r="496" ht="15.75" customHeight="1">
      <c r="M496" s="113"/>
      <c r="N496" s="113"/>
      <c r="O496" s="113"/>
      <c r="P496" s="113"/>
      <c r="AC496" s="117"/>
      <c r="AD496" s="118"/>
    </row>
    <row r="497" ht="15.75" customHeight="1">
      <c r="M497" s="113"/>
      <c r="N497" s="113"/>
      <c r="O497" s="113"/>
      <c r="P497" s="113"/>
      <c r="AC497" s="117"/>
      <c r="AD497" s="118"/>
    </row>
    <row r="498" ht="15.75" customHeight="1">
      <c r="M498" s="113"/>
      <c r="N498" s="113"/>
      <c r="O498" s="113"/>
      <c r="P498" s="113"/>
      <c r="AC498" s="117"/>
      <c r="AD498" s="118"/>
    </row>
    <row r="499" ht="15.75" customHeight="1">
      <c r="M499" s="113"/>
      <c r="N499" s="113"/>
      <c r="O499" s="113"/>
      <c r="P499" s="113"/>
      <c r="AC499" s="117"/>
      <c r="AD499" s="118"/>
    </row>
    <row r="500" ht="15.75" customHeight="1">
      <c r="M500" s="113"/>
      <c r="N500" s="113"/>
      <c r="O500" s="113"/>
      <c r="P500" s="113"/>
      <c r="AC500" s="117"/>
      <c r="AD500" s="118"/>
    </row>
    <row r="501" ht="15.75" customHeight="1">
      <c r="M501" s="113"/>
      <c r="N501" s="113"/>
      <c r="O501" s="113"/>
      <c r="P501" s="113"/>
      <c r="AC501" s="117"/>
      <c r="AD501" s="118"/>
    </row>
    <row r="502" ht="15.75" customHeight="1">
      <c r="M502" s="113"/>
      <c r="N502" s="113"/>
      <c r="O502" s="113"/>
      <c r="P502" s="113"/>
      <c r="AC502" s="117"/>
      <c r="AD502" s="118"/>
    </row>
    <row r="503" ht="15.75" customHeight="1">
      <c r="M503" s="113"/>
      <c r="N503" s="113"/>
      <c r="O503" s="113"/>
      <c r="P503" s="113"/>
      <c r="AC503" s="117"/>
      <c r="AD503" s="118"/>
    </row>
    <row r="504" ht="15.75" customHeight="1">
      <c r="M504" s="113"/>
      <c r="N504" s="113"/>
      <c r="O504" s="113"/>
      <c r="P504" s="113"/>
      <c r="AC504" s="117"/>
      <c r="AD504" s="118"/>
    </row>
    <row r="505" ht="15.75" customHeight="1">
      <c r="M505" s="113"/>
      <c r="N505" s="113"/>
      <c r="O505" s="113"/>
      <c r="P505" s="113"/>
      <c r="AC505" s="117"/>
      <c r="AD505" s="118"/>
    </row>
    <row r="506" ht="15.75" customHeight="1">
      <c r="M506" s="113"/>
      <c r="N506" s="113"/>
      <c r="O506" s="113"/>
      <c r="P506" s="113"/>
      <c r="AC506" s="117"/>
      <c r="AD506" s="118"/>
    </row>
    <row r="507" ht="15.75" customHeight="1">
      <c r="M507" s="113"/>
      <c r="N507" s="113"/>
      <c r="O507" s="113"/>
      <c r="P507" s="113"/>
      <c r="AC507" s="117"/>
      <c r="AD507" s="118"/>
    </row>
    <row r="508" ht="15.75" customHeight="1">
      <c r="M508" s="113"/>
      <c r="N508" s="113"/>
      <c r="O508" s="113"/>
      <c r="P508" s="113"/>
      <c r="AC508" s="117"/>
      <c r="AD508" s="118"/>
    </row>
    <row r="509" ht="15.75" customHeight="1">
      <c r="M509" s="113"/>
      <c r="N509" s="113"/>
      <c r="O509" s="113"/>
      <c r="P509" s="113"/>
      <c r="AC509" s="117"/>
      <c r="AD509" s="118"/>
    </row>
    <row r="510" ht="15.75" customHeight="1">
      <c r="M510" s="113"/>
      <c r="N510" s="113"/>
      <c r="O510" s="113"/>
      <c r="P510" s="113"/>
      <c r="AC510" s="117"/>
      <c r="AD510" s="118"/>
    </row>
    <row r="511" ht="15.75" customHeight="1">
      <c r="M511" s="113"/>
      <c r="N511" s="113"/>
      <c r="O511" s="113"/>
      <c r="P511" s="113"/>
      <c r="AC511" s="117"/>
      <c r="AD511" s="118"/>
    </row>
    <row r="512" ht="15.75" customHeight="1">
      <c r="M512" s="113"/>
      <c r="N512" s="113"/>
      <c r="O512" s="113"/>
      <c r="P512" s="113"/>
      <c r="AC512" s="117"/>
      <c r="AD512" s="118"/>
    </row>
    <row r="513" ht="15.75" customHeight="1">
      <c r="M513" s="113"/>
      <c r="N513" s="113"/>
      <c r="O513" s="113"/>
      <c r="P513" s="113"/>
      <c r="AC513" s="117"/>
      <c r="AD513" s="118"/>
    </row>
    <row r="514" ht="15.75" customHeight="1">
      <c r="M514" s="113"/>
      <c r="N514" s="113"/>
      <c r="O514" s="113"/>
      <c r="P514" s="113"/>
      <c r="AC514" s="117"/>
      <c r="AD514" s="118"/>
    </row>
    <row r="515" ht="15.75" customHeight="1">
      <c r="M515" s="113"/>
      <c r="N515" s="113"/>
      <c r="O515" s="113"/>
      <c r="P515" s="113"/>
      <c r="AC515" s="117"/>
      <c r="AD515" s="118"/>
    </row>
    <row r="516" ht="15.75" customHeight="1">
      <c r="M516" s="113"/>
      <c r="N516" s="113"/>
      <c r="O516" s="113"/>
      <c r="P516" s="113"/>
      <c r="AC516" s="117"/>
      <c r="AD516" s="118"/>
    </row>
    <row r="517" ht="15.75" customHeight="1">
      <c r="M517" s="113"/>
      <c r="N517" s="113"/>
      <c r="O517" s="113"/>
      <c r="P517" s="113"/>
      <c r="AC517" s="117"/>
      <c r="AD517" s="118"/>
    </row>
    <row r="518" ht="15.75" customHeight="1">
      <c r="M518" s="113"/>
      <c r="N518" s="113"/>
      <c r="O518" s="113"/>
      <c r="P518" s="113"/>
      <c r="AC518" s="117"/>
      <c r="AD518" s="118"/>
    </row>
    <row r="519" ht="15.75" customHeight="1">
      <c r="M519" s="113"/>
      <c r="N519" s="113"/>
      <c r="O519" s="113"/>
      <c r="P519" s="113"/>
      <c r="AC519" s="117"/>
      <c r="AD519" s="118"/>
    </row>
    <row r="520" ht="15.75" customHeight="1">
      <c r="M520" s="113"/>
      <c r="N520" s="113"/>
      <c r="O520" s="113"/>
      <c r="P520" s="113"/>
      <c r="AC520" s="117"/>
      <c r="AD520" s="118"/>
    </row>
    <row r="521" ht="15.75" customHeight="1">
      <c r="M521" s="113"/>
      <c r="N521" s="113"/>
      <c r="O521" s="113"/>
      <c r="P521" s="113"/>
      <c r="AC521" s="117"/>
      <c r="AD521" s="118"/>
    </row>
    <row r="522" ht="15.75" customHeight="1">
      <c r="M522" s="113"/>
      <c r="N522" s="113"/>
      <c r="O522" s="113"/>
      <c r="P522" s="113"/>
      <c r="AC522" s="117"/>
      <c r="AD522" s="118"/>
    </row>
    <row r="523" ht="15.75" customHeight="1">
      <c r="M523" s="113"/>
      <c r="N523" s="113"/>
      <c r="O523" s="113"/>
      <c r="P523" s="113"/>
      <c r="AC523" s="117"/>
      <c r="AD523" s="118"/>
    </row>
    <row r="524" ht="15.75" customHeight="1">
      <c r="M524" s="113"/>
      <c r="N524" s="113"/>
      <c r="O524" s="113"/>
      <c r="P524" s="113"/>
      <c r="AC524" s="117"/>
      <c r="AD524" s="118"/>
    </row>
    <row r="525" ht="15.75" customHeight="1">
      <c r="M525" s="113"/>
      <c r="N525" s="113"/>
      <c r="O525" s="113"/>
      <c r="P525" s="113"/>
      <c r="AC525" s="117"/>
      <c r="AD525" s="118"/>
    </row>
    <row r="526" ht="15.75" customHeight="1">
      <c r="M526" s="113"/>
      <c r="N526" s="113"/>
      <c r="O526" s="113"/>
      <c r="P526" s="113"/>
      <c r="AC526" s="117"/>
      <c r="AD526" s="118"/>
    </row>
    <row r="527" ht="15.75" customHeight="1">
      <c r="M527" s="113"/>
      <c r="N527" s="113"/>
      <c r="O527" s="113"/>
      <c r="P527" s="113"/>
      <c r="AC527" s="117"/>
      <c r="AD527" s="118"/>
    </row>
    <row r="528" ht="15.75" customHeight="1">
      <c r="M528" s="113"/>
      <c r="N528" s="113"/>
      <c r="O528" s="113"/>
      <c r="P528" s="113"/>
      <c r="AC528" s="117"/>
      <c r="AD528" s="118"/>
    </row>
    <row r="529" ht="15.75" customHeight="1">
      <c r="M529" s="113"/>
      <c r="N529" s="113"/>
      <c r="O529" s="113"/>
      <c r="P529" s="113"/>
      <c r="AC529" s="117"/>
      <c r="AD529" s="118"/>
    </row>
    <row r="530" ht="15.75" customHeight="1">
      <c r="M530" s="113"/>
      <c r="N530" s="113"/>
      <c r="O530" s="113"/>
      <c r="P530" s="113"/>
      <c r="AC530" s="117"/>
      <c r="AD530" s="118"/>
    </row>
    <row r="531" ht="15.75" customHeight="1">
      <c r="M531" s="113"/>
      <c r="N531" s="113"/>
      <c r="O531" s="113"/>
      <c r="P531" s="113"/>
      <c r="AC531" s="117"/>
      <c r="AD531" s="118"/>
    </row>
    <row r="532" ht="15.75" customHeight="1">
      <c r="M532" s="113"/>
      <c r="N532" s="113"/>
      <c r="O532" s="113"/>
      <c r="P532" s="113"/>
      <c r="AC532" s="117"/>
      <c r="AD532" s="118"/>
    </row>
    <row r="533" ht="15.75" customHeight="1">
      <c r="M533" s="113"/>
      <c r="N533" s="113"/>
      <c r="O533" s="113"/>
      <c r="P533" s="113"/>
      <c r="AC533" s="117"/>
      <c r="AD533" s="118"/>
    </row>
    <row r="534" ht="15.75" customHeight="1">
      <c r="M534" s="113"/>
      <c r="N534" s="113"/>
      <c r="O534" s="113"/>
      <c r="P534" s="113"/>
      <c r="AC534" s="117"/>
      <c r="AD534" s="118"/>
    </row>
    <row r="535" ht="15.75" customHeight="1">
      <c r="M535" s="113"/>
      <c r="N535" s="113"/>
      <c r="O535" s="113"/>
      <c r="P535" s="113"/>
      <c r="AC535" s="117"/>
      <c r="AD535" s="118"/>
    </row>
    <row r="536" ht="15.75" customHeight="1">
      <c r="M536" s="113"/>
      <c r="N536" s="113"/>
      <c r="O536" s="113"/>
      <c r="P536" s="113"/>
      <c r="AC536" s="117"/>
      <c r="AD536" s="118"/>
    </row>
    <row r="537" ht="15.75" customHeight="1">
      <c r="M537" s="113"/>
      <c r="N537" s="113"/>
      <c r="O537" s="113"/>
      <c r="P537" s="113"/>
      <c r="AC537" s="117"/>
      <c r="AD537" s="118"/>
    </row>
    <row r="538" ht="15.75" customHeight="1">
      <c r="M538" s="113"/>
      <c r="N538" s="113"/>
      <c r="O538" s="113"/>
      <c r="P538" s="113"/>
      <c r="AC538" s="117"/>
      <c r="AD538" s="118"/>
    </row>
    <row r="539" ht="15.75" customHeight="1">
      <c r="M539" s="113"/>
      <c r="N539" s="113"/>
      <c r="O539" s="113"/>
      <c r="P539" s="113"/>
      <c r="AC539" s="117"/>
      <c r="AD539" s="118"/>
    </row>
    <row r="540" ht="15.75" customHeight="1">
      <c r="M540" s="113"/>
      <c r="N540" s="113"/>
      <c r="O540" s="113"/>
      <c r="P540" s="113"/>
      <c r="AC540" s="117"/>
      <c r="AD540" s="118"/>
    </row>
    <row r="541" ht="15.75" customHeight="1">
      <c r="M541" s="113"/>
      <c r="N541" s="113"/>
      <c r="O541" s="113"/>
      <c r="P541" s="113"/>
      <c r="AC541" s="117"/>
      <c r="AD541" s="118"/>
    </row>
    <row r="542" ht="15.75" customHeight="1">
      <c r="M542" s="113"/>
      <c r="N542" s="113"/>
      <c r="O542" s="113"/>
      <c r="P542" s="113"/>
      <c r="AC542" s="117"/>
      <c r="AD542" s="118"/>
    </row>
    <row r="543" ht="15.75" customHeight="1">
      <c r="M543" s="113"/>
      <c r="N543" s="113"/>
      <c r="O543" s="113"/>
      <c r="P543" s="113"/>
      <c r="AC543" s="117"/>
      <c r="AD543" s="118"/>
    </row>
    <row r="544" ht="15.75" customHeight="1">
      <c r="M544" s="113"/>
      <c r="N544" s="113"/>
      <c r="O544" s="113"/>
      <c r="P544" s="113"/>
      <c r="AC544" s="117"/>
      <c r="AD544" s="118"/>
    </row>
    <row r="545" ht="15.75" customHeight="1">
      <c r="M545" s="113"/>
      <c r="N545" s="113"/>
      <c r="O545" s="113"/>
      <c r="P545" s="113"/>
      <c r="AC545" s="117"/>
      <c r="AD545" s="118"/>
    </row>
    <row r="546" ht="15.75" customHeight="1">
      <c r="M546" s="113"/>
      <c r="N546" s="113"/>
      <c r="O546" s="113"/>
      <c r="P546" s="113"/>
      <c r="AC546" s="117"/>
      <c r="AD546" s="118"/>
    </row>
    <row r="547" ht="15.75" customHeight="1">
      <c r="M547" s="113"/>
      <c r="N547" s="113"/>
      <c r="O547" s="113"/>
      <c r="P547" s="113"/>
      <c r="AC547" s="117"/>
      <c r="AD547" s="118"/>
    </row>
    <row r="548" ht="15.75" customHeight="1">
      <c r="M548" s="113"/>
      <c r="N548" s="113"/>
      <c r="O548" s="113"/>
      <c r="P548" s="113"/>
      <c r="AC548" s="117"/>
      <c r="AD548" s="118"/>
    </row>
    <row r="549" ht="15.75" customHeight="1">
      <c r="M549" s="113"/>
      <c r="N549" s="113"/>
      <c r="O549" s="113"/>
      <c r="P549" s="113"/>
      <c r="AC549" s="117"/>
      <c r="AD549" s="118"/>
    </row>
    <row r="550" ht="15.75" customHeight="1">
      <c r="M550" s="113"/>
      <c r="N550" s="113"/>
      <c r="O550" s="113"/>
      <c r="P550" s="113"/>
      <c r="AC550" s="117"/>
      <c r="AD550" s="118"/>
    </row>
    <row r="551" ht="15.75" customHeight="1">
      <c r="M551" s="113"/>
      <c r="N551" s="113"/>
      <c r="O551" s="113"/>
      <c r="P551" s="113"/>
      <c r="AC551" s="117"/>
      <c r="AD551" s="118"/>
    </row>
    <row r="552" ht="15.75" customHeight="1">
      <c r="M552" s="113"/>
      <c r="N552" s="113"/>
      <c r="O552" s="113"/>
      <c r="P552" s="113"/>
      <c r="AC552" s="117"/>
      <c r="AD552" s="118"/>
    </row>
    <row r="553" ht="15.75" customHeight="1">
      <c r="M553" s="113"/>
      <c r="N553" s="113"/>
      <c r="O553" s="113"/>
      <c r="P553" s="113"/>
      <c r="AC553" s="117"/>
      <c r="AD553" s="118"/>
    </row>
    <row r="554" ht="15.75" customHeight="1">
      <c r="M554" s="113"/>
      <c r="N554" s="113"/>
      <c r="O554" s="113"/>
      <c r="P554" s="113"/>
      <c r="AC554" s="117"/>
      <c r="AD554" s="118"/>
    </row>
    <row r="555" ht="15.75" customHeight="1">
      <c r="M555" s="113"/>
      <c r="N555" s="113"/>
      <c r="O555" s="113"/>
      <c r="P555" s="113"/>
      <c r="AC555" s="117"/>
      <c r="AD555" s="118"/>
    </row>
    <row r="556" ht="15.75" customHeight="1">
      <c r="M556" s="113"/>
      <c r="N556" s="113"/>
      <c r="O556" s="113"/>
      <c r="P556" s="113"/>
      <c r="AC556" s="117"/>
      <c r="AD556" s="118"/>
    </row>
    <row r="557" ht="15.75" customHeight="1">
      <c r="M557" s="113"/>
      <c r="N557" s="113"/>
      <c r="O557" s="113"/>
      <c r="P557" s="113"/>
      <c r="AC557" s="117"/>
      <c r="AD557" s="118"/>
    </row>
    <row r="558" ht="15.75" customHeight="1">
      <c r="M558" s="113"/>
      <c r="N558" s="113"/>
      <c r="O558" s="113"/>
      <c r="P558" s="113"/>
      <c r="AC558" s="117"/>
      <c r="AD558" s="118"/>
    </row>
    <row r="559" ht="15.75" customHeight="1">
      <c r="M559" s="113"/>
      <c r="N559" s="113"/>
      <c r="O559" s="113"/>
      <c r="P559" s="113"/>
      <c r="AC559" s="117"/>
      <c r="AD559" s="118"/>
    </row>
    <row r="560" ht="15.75" customHeight="1">
      <c r="M560" s="113"/>
      <c r="N560" s="113"/>
      <c r="O560" s="113"/>
      <c r="P560" s="113"/>
      <c r="AC560" s="117"/>
      <c r="AD560" s="118"/>
    </row>
    <row r="561" ht="15.75" customHeight="1">
      <c r="M561" s="113"/>
      <c r="N561" s="113"/>
      <c r="O561" s="113"/>
      <c r="P561" s="113"/>
      <c r="AC561" s="117"/>
      <c r="AD561" s="118"/>
    </row>
    <row r="562" ht="15.75" customHeight="1">
      <c r="M562" s="113"/>
      <c r="N562" s="113"/>
      <c r="O562" s="113"/>
      <c r="P562" s="113"/>
      <c r="AC562" s="117"/>
      <c r="AD562" s="118"/>
    </row>
    <row r="563" ht="15.75" customHeight="1">
      <c r="M563" s="113"/>
      <c r="N563" s="113"/>
      <c r="O563" s="113"/>
      <c r="P563" s="113"/>
      <c r="AC563" s="117"/>
      <c r="AD563" s="118"/>
    </row>
    <row r="564" ht="15.75" customHeight="1">
      <c r="M564" s="113"/>
      <c r="N564" s="113"/>
      <c r="O564" s="113"/>
      <c r="P564" s="113"/>
      <c r="AC564" s="117"/>
      <c r="AD564" s="118"/>
    </row>
    <row r="565" ht="15.75" customHeight="1">
      <c r="M565" s="113"/>
      <c r="N565" s="113"/>
      <c r="O565" s="113"/>
      <c r="P565" s="113"/>
      <c r="AC565" s="117"/>
      <c r="AD565" s="118"/>
    </row>
    <row r="566" ht="15.75" customHeight="1">
      <c r="M566" s="113"/>
      <c r="N566" s="113"/>
      <c r="O566" s="113"/>
      <c r="P566" s="113"/>
      <c r="AC566" s="117"/>
      <c r="AD566" s="118"/>
    </row>
    <row r="567" ht="15.75" customHeight="1">
      <c r="M567" s="113"/>
      <c r="N567" s="113"/>
      <c r="O567" s="113"/>
      <c r="P567" s="113"/>
      <c r="AC567" s="117"/>
      <c r="AD567" s="118"/>
    </row>
    <row r="568" ht="15.75" customHeight="1">
      <c r="M568" s="113"/>
      <c r="N568" s="113"/>
      <c r="O568" s="113"/>
      <c r="P568" s="113"/>
      <c r="AC568" s="117"/>
      <c r="AD568" s="118"/>
    </row>
    <row r="569" ht="15.75" customHeight="1">
      <c r="M569" s="113"/>
      <c r="N569" s="113"/>
      <c r="O569" s="113"/>
      <c r="P569" s="113"/>
      <c r="AC569" s="117"/>
      <c r="AD569" s="118"/>
    </row>
    <row r="570" ht="15.75" customHeight="1">
      <c r="M570" s="113"/>
      <c r="N570" s="113"/>
      <c r="O570" s="113"/>
      <c r="P570" s="113"/>
      <c r="AC570" s="117"/>
      <c r="AD570" s="118"/>
    </row>
    <row r="571" ht="15.75" customHeight="1">
      <c r="M571" s="113"/>
      <c r="N571" s="113"/>
      <c r="O571" s="113"/>
      <c r="P571" s="113"/>
      <c r="AC571" s="117"/>
      <c r="AD571" s="118"/>
    </row>
    <row r="572" ht="15.75" customHeight="1">
      <c r="M572" s="113"/>
      <c r="N572" s="113"/>
      <c r="O572" s="113"/>
      <c r="P572" s="113"/>
      <c r="AC572" s="117"/>
      <c r="AD572" s="118"/>
    </row>
    <row r="573" ht="15.75" customHeight="1">
      <c r="M573" s="113"/>
      <c r="N573" s="113"/>
      <c r="O573" s="113"/>
      <c r="P573" s="113"/>
      <c r="AC573" s="117"/>
      <c r="AD573" s="118"/>
    </row>
    <row r="574" ht="15.75" customHeight="1">
      <c r="M574" s="113"/>
      <c r="N574" s="113"/>
      <c r="O574" s="113"/>
      <c r="P574" s="113"/>
      <c r="AC574" s="117"/>
      <c r="AD574" s="118"/>
    </row>
    <row r="575" ht="15.75" customHeight="1">
      <c r="M575" s="113"/>
      <c r="N575" s="113"/>
      <c r="O575" s="113"/>
      <c r="P575" s="113"/>
      <c r="AC575" s="117"/>
      <c r="AD575" s="118"/>
    </row>
    <row r="576" ht="15.75" customHeight="1">
      <c r="M576" s="113"/>
      <c r="N576" s="113"/>
      <c r="O576" s="113"/>
      <c r="P576" s="113"/>
      <c r="AC576" s="117"/>
      <c r="AD576" s="118"/>
    </row>
    <row r="577" ht="15.75" customHeight="1">
      <c r="M577" s="113"/>
      <c r="N577" s="113"/>
      <c r="O577" s="113"/>
      <c r="P577" s="113"/>
      <c r="AC577" s="117"/>
      <c r="AD577" s="118"/>
    </row>
    <row r="578" ht="15.75" customHeight="1">
      <c r="M578" s="113"/>
      <c r="N578" s="113"/>
      <c r="O578" s="113"/>
      <c r="P578" s="113"/>
      <c r="AC578" s="117"/>
      <c r="AD578" s="118"/>
    </row>
    <row r="579" ht="15.75" customHeight="1">
      <c r="M579" s="113"/>
      <c r="N579" s="113"/>
      <c r="O579" s="113"/>
      <c r="P579" s="113"/>
      <c r="AC579" s="117"/>
      <c r="AD579" s="118"/>
    </row>
    <row r="580" ht="15.75" customHeight="1">
      <c r="M580" s="113"/>
      <c r="N580" s="113"/>
      <c r="O580" s="113"/>
      <c r="P580" s="113"/>
      <c r="AC580" s="117"/>
      <c r="AD580" s="118"/>
    </row>
    <row r="581" ht="15.75" customHeight="1">
      <c r="M581" s="113"/>
      <c r="N581" s="113"/>
      <c r="O581" s="113"/>
      <c r="P581" s="113"/>
      <c r="AC581" s="117"/>
      <c r="AD581" s="118"/>
    </row>
    <row r="582" ht="15.75" customHeight="1">
      <c r="M582" s="113"/>
      <c r="N582" s="113"/>
      <c r="O582" s="113"/>
      <c r="P582" s="113"/>
      <c r="AC582" s="117"/>
      <c r="AD582" s="118"/>
    </row>
    <row r="583" ht="15.75" customHeight="1">
      <c r="M583" s="113"/>
      <c r="N583" s="113"/>
      <c r="O583" s="113"/>
      <c r="P583" s="113"/>
      <c r="AC583" s="117"/>
      <c r="AD583" s="118"/>
    </row>
    <row r="584" ht="15.75" customHeight="1">
      <c r="M584" s="113"/>
      <c r="N584" s="113"/>
      <c r="O584" s="113"/>
      <c r="P584" s="113"/>
      <c r="AC584" s="117"/>
      <c r="AD584" s="118"/>
    </row>
    <row r="585" ht="15.75" customHeight="1">
      <c r="M585" s="113"/>
      <c r="N585" s="113"/>
      <c r="O585" s="113"/>
      <c r="P585" s="113"/>
      <c r="AC585" s="117"/>
      <c r="AD585" s="118"/>
    </row>
    <row r="586" ht="15.75" customHeight="1">
      <c r="M586" s="113"/>
      <c r="N586" s="113"/>
      <c r="O586" s="113"/>
      <c r="P586" s="113"/>
      <c r="AC586" s="117"/>
      <c r="AD586" s="118"/>
    </row>
    <row r="587" ht="15.75" customHeight="1">
      <c r="M587" s="113"/>
      <c r="N587" s="113"/>
      <c r="O587" s="113"/>
      <c r="P587" s="113"/>
      <c r="AC587" s="117"/>
      <c r="AD587" s="118"/>
    </row>
    <row r="588" ht="15.75" customHeight="1">
      <c r="M588" s="113"/>
      <c r="N588" s="113"/>
      <c r="O588" s="113"/>
      <c r="P588" s="113"/>
      <c r="AC588" s="117"/>
      <c r="AD588" s="118"/>
    </row>
    <row r="589" ht="15.75" customHeight="1">
      <c r="M589" s="113"/>
      <c r="N589" s="113"/>
      <c r="O589" s="113"/>
      <c r="P589" s="113"/>
      <c r="AC589" s="117"/>
      <c r="AD589" s="118"/>
    </row>
    <row r="590" ht="15.75" customHeight="1">
      <c r="M590" s="113"/>
      <c r="N590" s="113"/>
      <c r="O590" s="113"/>
      <c r="P590" s="113"/>
      <c r="AC590" s="117"/>
      <c r="AD590" s="118"/>
    </row>
    <row r="591" ht="15.75" customHeight="1">
      <c r="M591" s="113"/>
      <c r="N591" s="113"/>
      <c r="O591" s="113"/>
      <c r="P591" s="113"/>
      <c r="AC591" s="117"/>
      <c r="AD591" s="118"/>
    </row>
    <row r="592" ht="15.75" customHeight="1">
      <c r="M592" s="113"/>
      <c r="N592" s="113"/>
      <c r="O592" s="113"/>
      <c r="P592" s="113"/>
      <c r="AC592" s="117"/>
      <c r="AD592" s="118"/>
    </row>
    <row r="593" ht="15.75" customHeight="1">
      <c r="M593" s="113"/>
      <c r="N593" s="113"/>
      <c r="O593" s="113"/>
      <c r="P593" s="113"/>
      <c r="AC593" s="117"/>
      <c r="AD593" s="118"/>
    </row>
    <row r="594" ht="15.75" customHeight="1">
      <c r="M594" s="113"/>
      <c r="N594" s="113"/>
      <c r="O594" s="113"/>
      <c r="P594" s="113"/>
      <c r="AC594" s="117"/>
      <c r="AD594" s="118"/>
    </row>
    <row r="595" ht="15.75" customHeight="1">
      <c r="M595" s="113"/>
      <c r="N595" s="113"/>
      <c r="O595" s="113"/>
      <c r="P595" s="113"/>
      <c r="AC595" s="117"/>
      <c r="AD595" s="118"/>
    </row>
    <row r="596" ht="15.75" customHeight="1">
      <c r="M596" s="113"/>
      <c r="N596" s="113"/>
      <c r="O596" s="113"/>
      <c r="P596" s="113"/>
      <c r="AC596" s="117"/>
      <c r="AD596" s="118"/>
    </row>
    <row r="597" ht="15.75" customHeight="1">
      <c r="M597" s="113"/>
      <c r="N597" s="113"/>
      <c r="O597" s="113"/>
      <c r="P597" s="113"/>
      <c r="AC597" s="117"/>
      <c r="AD597" s="118"/>
    </row>
    <row r="598" ht="15.75" customHeight="1">
      <c r="M598" s="113"/>
      <c r="N598" s="113"/>
      <c r="O598" s="113"/>
      <c r="P598" s="113"/>
      <c r="AC598" s="117"/>
      <c r="AD598" s="118"/>
    </row>
    <row r="599" ht="15.75" customHeight="1">
      <c r="M599" s="113"/>
      <c r="N599" s="113"/>
      <c r="O599" s="113"/>
      <c r="P599" s="113"/>
      <c r="AC599" s="117"/>
      <c r="AD599" s="118"/>
    </row>
    <row r="600" ht="15.75" customHeight="1">
      <c r="M600" s="113"/>
      <c r="N600" s="113"/>
      <c r="O600" s="113"/>
      <c r="P600" s="113"/>
      <c r="AC600" s="117"/>
      <c r="AD600" s="118"/>
    </row>
    <row r="601" ht="15.75" customHeight="1">
      <c r="M601" s="113"/>
      <c r="N601" s="113"/>
      <c r="O601" s="113"/>
      <c r="P601" s="113"/>
      <c r="AC601" s="117"/>
      <c r="AD601" s="118"/>
    </row>
    <row r="602" ht="15.75" customHeight="1">
      <c r="M602" s="113"/>
      <c r="N602" s="113"/>
      <c r="O602" s="113"/>
      <c r="P602" s="113"/>
      <c r="AC602" s="117"/>
      <c r="AD602" s="118"/>
    </row>
    <row r="603" ht="15.75" customHeight="1">
      <c r="M603" s="113"/>
      <c r="N603" s="113"/>
      <c r="O603" s="113"/>
      <c r="P603" s="113"/>
      <c r="AC603" s="117"/>
      <c r="AD603" s="118"/>
    </row>
    <row r="604" ht="15.75" customHeight="1">
      <c r="M604" s="113"/>
      <c r="N604" s="113"/>
      <c r="O604" s="113"/>
      <c r="P604" s="113"/>
      <c r="AC604" s="117"/>
      <c r="AD604" s="118"/>
    </row>
    <row r="605" ht="15.75" customHeight="1">
      <c r="M605" s="113"/>
      <c r="N605" s="113"/>
      <c r="O605" s="113"/>
      <c r="P605" s="113"/>
      <c r="AC605" s="117"/>
      <c r="AD605" s="118"/>
    </row>
    <row r="606" ht="15.75" customHeight="1">
      <c r="M606" s="113"/>
      <c r="N606" s="113"/>
      <c r="O606" s="113"/>
      <c r="P606" s="113"/>
      <c r="AC606" s="117"/>
      <c r="AD606" s="118"/>
    </row>
    <row r="607" ht="15.75" customHeight="1">
      <c r="M607" s="113"/>
      <c r="N607" s="113"/>
      <c r="O607" s="113"/>
      <c r="P607" s="113"/>
      <c r="AC607" s="117"/>
      <c r="AD607" s="118"/>
    </row>
    <row r="608" ht="15.75" customHeight="1">
      <c r="M608" s="113"/>
      <c r="N608" s="113"/>
      <c r="O608" s="113"/>
      <c r="P608" s="113"/>
      <c r="AC608" s="117"/>
      <c r="AD608" s="118"/>
    </row>
    <row r="609" ht="15.75" customHeight="1">
      <c r="M609" s="113"/>
      <c r="N609" s="113"/>
      <c r="O609" s="113"/>
      <c r="P609" s="113"/>
      <c r="AC609" s="117"/>
      <c r="AD609" s="118"/>
    </row>
    <row r="610" ht="15.75" customHeight="1">
      <c r="M610" s="113"/>
      <c r="N610" s="113"/>
      <c r="O610" s="113"/>
      <c r="P610" s="113"/>
      <c r="AC610" s="117"/>
      <c r="AD610" s="118"/>
    </row>
    <row r="611" ht="15.75" customHeight="1">
      <c r="M611" s="113"/>
      <c r="N611" s="113"/>
      <c r="O611" s="113"/>
      <c r="P611" s="113"/>
      <c r="AC611" s="117"/>
      <c r="AD611" s="118"/>
    </row>
    <row r="612" ht="15.75" customHeight="1">
      <c r="M612" s="113"/>
      <c r="N612" s="113"/>
      <c r="O612" s="113"/>
      <c r="P612" s="113"/>
      <c r="AC612" s="117"/>
      <c r="AD612" s="118"/>
    </row>
    <row r="613" ht="15.75" customHeight="1">
      <c r="M613" s="113"/>
      <c r="N613" s="113"/>
      <c r="O613" s="113"/>
      <c r="P613" s="113"/>
      <c r="AC613" s="117"/>
      <c r="AD613" s="118"/>
    </row>
    <row r="614" ht="15.75" customHeight="1">
      <c r="M614" s="113"/>
      <c r="N614" s="113"/>
      <c r="O614" s="113"/>
      <c r="P614" s="113"/>
      <c r="AC614" s="117"/>
      <c r="AD614" s="118"/>
    </row>
    <row r="615" ht="15.75" customHeight="1">
      <c r="M615" s="113"/>
      <c r="N615" s="113"/>
      <c r="O615" s="113"/>
      <c r="P615" s="113"/>
      <c r="AC615" s="117"/>
      <c r="AD615" s="118"/>
    </row>
    <row r="616" ht="15.75" customHeight="1">
      <c r="M616" s="113"/>
      <c r="N616" s="113"/>
      <c r="O616" s="113"/>
      <c r="P616" s="113"/>
      <c r="AC616" s="117"/>
      <c r="AD616" s="118"/>
    </row>
    <row r="617" ht="15.75" customHeight="1">
      <c r="M617" s="113"/>
      <c r="N617" s="113"/>
      <c r="O617" s="113"/>
      <c r="P617" s="113"/>
      <c r="AC617" s="117"/>
      <c r="AD617" s="118"/>
    </row>
    <row r="618" ht="15.75" customHeight="1">
      <c r="M618" s="113"/>
      <c r="N618" s="113"/>
      <c r="O618" s="113"/>
      <c r="P618" s="113"/>
      <c r="AC618" s="117"/>
      <c r="AD618" s="118"/>
    </row>
    <row r="619" ht="15.75" customHeight="1">
      <c r="M619" s="113"/>
      <c r="N619" s="113"/>
      <c r="O619" s="113"/>
      <c r="P619" s="113"/>
      <c r="AC619" s="117"/>
      <c r="AD619" s="118"/>
    </row>
    <row r="620" ht="15.75" customHeight="1">
      <c r="M620" s="113"/>
      <c r="N620" s="113"/>
      <c r="O620" s="113"/>
      <c r="P620" s="113"/>
      <c r="AC620" s="117"/>
      <c r="AD620" s="118"/>
    </row>
    <row r="621" ht="15.75" customHeight="1">
      <c r="M621" s="113"/>
      <c r="N621" s="113"/>
      <c r="O621" s="113"/>
      <c r="P621" s="113"/>
      <c r="AC621" s="117"/>
      <c r="AD621" s="118"/>
    </row>
    <row r="622" ht="15.75" customHeight="1">
      <c r="M622" s="113"/>
      <c r="N622" s="113"/>
      <c r="O622" s="113"/>
      <c r="P622" s="113"/>
      <c r="AC622" s="117"/>
      <c r="AD622" s="118"/>
    </row>
    <row r="623" ht="15.75" customHeight="1">
      <c r="M623" s="113"/>
      <c r="N623" s="113"/>
      <c r="O623" s="113"/>
      <c r="P623" s="113"/>
      <c r="AC623" s="117"/>
      <c r="AD623" s="118"/>
    </row>
    <row r="624" ht="15.75" customHeight="1">
      <c r="M624" s="113"/>
      <c r="N624" s="113"/>
      <c r="O624" s="113"/>
      <c r="P624" s="113"/>
      <c r="AC624" s="117"/>
      <c r="AD624" s="118"/>
    </row>
    <row r="625" ht="15.75" customHeight="1">
      <c r="M625" s="113"/>
      <c r="N625" s="113"/>
      <c r="O625" s="113"/>
      <c r="P625" s="113"/>
      <c r="AC625" s="117"/>
      <c r="AD625" s="118"/>
    </row>
    <row r="626" ht="15.75" customHeight="1">
      <c r="M626" s="113"/>
      <c r="N626" s="113"/>
      <c r="O626" s="113"/>
      <c r="P626" s="113"/>
      <c r="AC626" s="117"/>
      <c r="AD626" s="118"/>
    </row>
    <row r="627" ht="15.75" customHeight="1">
      <c r="M627" s="113"/>
      <c r="N627" s="113"/>
      <c r="O627" s="113"/>
      <c r="P627" s="113"/>
      <c r="AC627" s="117"/>
      <c r="AD627" s="118"/>
    </row>
    <row r="628" ht="15.75" customHeight="1">
      <c r="M628" s="113"/>
      <c r="N628" s="113"/>
      <c r="O628" s="113"/>
      <c r="P628" s="113"/>
      <c r="AC628" s="117"/>
      <c r="AD628" s="118"/>
    </row>
    <row r="629" ht="15.75" customHeight="1">
      <c r="M629" s="113"/>
      <c r="N629" s="113"/>
      <c r="O629" s="113"/>
      <c r="P629" s="113"/>
      <c r="AC629" s="117"/>
      <c r="AD629" s="118"/>
    </row>
    <row r="630" ht="15.75" customHeight="1">
      <c r="M630" s="113"/>
      <c r="N630" s="113"/>
      <c r="O630" s="113"/>
      <c r="P630" s="113"/>
      <c r="AC630" s="117"/>
      <c r="AD630" s="118"/>
    </row>
    <row r="631" ht="15.75" customHeight="1">
      <c r="M631" s="113"/>
      <c r="N631" s="113"/>
      <c r="O631" s="113"/>
      <c r="P631" s="113"/>
      <c r="AC631" s="117"/>
      <c r="AD631" s="118"/>
    </row>
    <row r="632" ht="15.75" customHeight="1">
      <c r="M632" s="113"/>
      <c r="N632" s="113"/>
      <c r="O632" s="113"/>
      <c r="P632" s="113"/>
      <c r="AC632" s="117"/>
      <c r="AD632" s="118"/>
    </row>
    <row r="633" ht="15.75" customHeight="1">
      <c r="M633" s="113"/>
      <c r="N633" s="113"/>
      <c r="O633" s="113"/>
      <c r="P633" s="113"/>
      <c r="AC633" s="117"/>
      <c r="AD633" s="118"/>
    </row>
    <row r="634" ht="15.75" customHeight="1">
      <c r="M634" s="113"/>
      <c r="N634" s="113"/>
      <c r="O634" s="113"/>
      <c r="P634" s="113"/>
      <c r="AC634" s="117"/>
      <c r="AD634" s="118"/>
    </row>
    <row r="635" ht="15.75" customHeight="1">
      <c r="M635" s="113"/>
      <c r="N635" s="113"/>
      <c r="O635" s="113"/>
      <c r="P635" s="113"/>
      <c r="AC635" s="117"/>
      <c r="AD635" s="118"/>
    </row>
    <row r="636" ht="15.75" customHeight="1">
      <c r="M636" s="113"/>
      <c r="N636" s="113"/>
      <c r="O636" s="113"/>
      <c r="P636" s="113"/>
      <c r="AC636" s="117"/>
      <c r="AD636" s="118"/>
    </row>
    <row r="637" ht="15.75" customHeight="1">
      <c r="M637" s="113"/>
      <c r="N637" s="113"/>
      <c r="O637" s="113"/>
      <c r="P637" s="113"/>
      <c r="AC637" s="117"/>
      <c r="AD637" s="118"/>
    </row>
    <row r="638" ht="15.75" customHeight="1">
      <c r="M638" s="113"/>
      <c r="N638" s="113"/>
      <c r="O638" s="113"/>
      <c r="P638" s="113"/>
      <c r="AC638" s="117"/>
      <c r="AD638" s="118"/>
    </row>
    <row r="639" ht="15.75" customHeight="1">
      <c r="M639" s="113"/>
      <c r="N639" s="113"/>
      <c r="O639" s="113"/>
      <c r="P639" s="113"/>
      <c r="AC639" s="117"/>
      <c r="AD639" s="118"/>
    </row>
    <row r="640" ht="15.75" customHeight="1">
      <c r="M640" s="113"/>
      <c r="N640" s="113"/>
      <c r="O640" s="113"/>
      <c r="P640" s="113"/>
      <c r="AC640" s="117"/>
      <c r="AD640" s="118"/>
    </row>
    <row r="641" ht="15.75" customHeight="1">
      <c r="M641" s="113"/>
      <c r="N641" s="113"/>
      <c r="O641" s="113"/>
      <c r="P641" s="113"/>
      <c r="AC641" s="117"/>
      <c r="AD641" s="118"/>
    </row>
    <row r="642" ht="15.75" customHeight="1">
      <c r="M642" s="113"/>
      <c r="N642" s="113"/>
      <c r="O642" s="113"/>
      <c r="P642" s="113"/>
      <c r="AC642" s="117"/>
      <c r="AD642" s="118"/>
    </row>
    <row r="643" ht="15.75" customHeight="1">
      <c r="M643" s="113"/>
      <c r="N643" s="113"/>
      <c r="O643" s="113"/>
      <c r="P643" s="113"/>
      <c r="AC643" s="117"/>
      <c r="AD643" s="118"/>
    </row>
    <row r="644" ht="15.75" customHeight="1">
      <c r="M644" s="113"/>
      <c r="N644" s="113"/>
      <c r="O644" s="113"/>
      <c r="P644" s="113"/>
      <c r="AC644" s="117"/>
      <c r="AD644" s="118"/>
    </row>
    <row r="645" ht="15.75" customHeight="1">
      <c r="M645" s="113"/>
      <c r="N645" s="113"/>
      <c r="O645" s="113"/>
      <c r="P645" s="113"/>
      <c r="AC645" s="117"/>
      <c r="AD645" s="118"/>
    </row>
    <row r="646" ht="15.75" customHeight="1">
      <c r="M646" s="113"/>
      <c r="N646" s="113"/>
      <c r="O646" s="113"/>
      <c r="P646" s="113"/>
      <c r="AC646" s="117"/>
      <c r="AD646" s="118"/>
    </row>
    <row r="647" ht="15.75" customHeight="1">
      <c r="M647" s="113"/>
      <c r="N647" s="113"/>
      <c r="O647" s="113"/>
      <c r="P647" s="113"/>
      <c r="AC647" s="117"/>
      <c r="AD647" s="118"/>
    </row>
    <row r="648" ht="15.75" customHeight="1">
      <c r="M648" s="113"/>
      <c r="N648" s="113"/>
      <c r="O648" s="113"/>
      <c r="P648" s="113"/>
      <c r="AC648" s="117"/>
      <c r="AD648" s="118"/>
    </row>
    <row r="649" ht="15.75" customHeight="1">
      <c r="M649" s="113"/>
      <c r="N649" s="113"/>
      <c r="O649" s="113"/>
      <c r="P649" s="113"/>
      <c r="AC649" s="117"/>
      <c r="AD649" s="118"/>
    </row>
    <row r="650" ht="15.75" customHeight="1">
      <c r="M650" s="113"/>
      <c r="N650" s="113"/>
      <c r="O650" s="113"/>
      <c r="P650" s="113"/>
      <c r="AC650" s="117"/>
      <c r="AD650" s="118"/>
    </row>
    <row r="651" ht="15.75" customHeight="1">
      <c r="M651" s="113"/>
      <c r="N651" s="113"/>
      <c r="O651" s="113"/>
      <c r="P651" s="113"/>
      <c r="AC651" s="117"/>
      <c r="AD651" s="118"/>
    </row>
    <row r="652" ht="15.75" customHeight="1">
      <c r="M652" s="113"/>
      <c r="N652" s="113"/>
      <c r="O652" s="113"/>
      <c r="P652" s="113"/>
      <c r="AC652" s="117"/>
      <c r="AD652" s="118"/>
    </row>
    <row r="653" ht="15.75" customHeight="1">
      <c r="M653" s="113"/>
      <c r="N653" s="113"/>
      <c r="O653" s="113"/>
      <c r="P653" s="113"/>
      <c r="AC653" s="117"/>
      <c r="AD653" s="118"/>
    </row>
    <row r="654" ht="15.75" customHeight="1">
      <c r="M654" s="113"/>
      <c r="N654" s="113"/>
      <c r="O654" s="113"/>
      <c r="P654" s="113"/>
      <c r="AC654" s="117"/>
      <c r="AD654" s="118"/>
    </row>
    <row r="655" ht="15.75" customHeight="1">
      <c r="M655" s="113"/>
      <c r="N655" s="113"/>
      <c r="O655" s="113"/>
      <c r="P655" s="113"/>
      <c r="AC655" s="117"/>
      <c r="AD655" s="118"/>
    </row>
    <row r="656" ht="15.75" customHeight="1">
      <c r="M656" s="113"/>
      <c r="N656" s="113"/>
      <c r="O656" s="113"/>
      <c r="P656" s="113"/>
      <c r="AC656" s="117"/>
      <c r="AD656" s="118"/>
    </row>
    <row r="657" ht="15.75" customHeight="1">
      <c r="M657" s="113"/>
      <c r="N657" s="113"/>
      <c r="O657" s="113"/>
      <c r="P657" s="113"/>
      <c r="AC657" s="117"/>
      <c r="AD657" s="118"/>
    </row>
    <row r="658" ht="15.75" customHeight="1">
      <c r="M658" s="113"/>
      <c r="N658" s="113"/>
      <c r="O658" s="113"/>
      <c r="P658" s="113"/>
      <c r="AC658" s="117"/>
      <c r="AD658" s="118"/>
    </row>
    <row r="659" ht="15.75" customHeight="1">
      <c r="M659" s="113"/>
      <c r="N659" s="113"/>
      <c r="O659" s="113"/>
      <c r="P659" s="113"/>
      <c r="AC659" s="117"/>
      <c r="AD659" s="118"/>
    </row>
    <row r="660" ht="15.75" customHeight="1">
      <c r="M660" s="113"/>
      <c r="N660" s="113"/>
      <c r="O660" s="113"/>
      <c r="P660" s="113"/>
      <c r="AC660" s="117"/>
      <c r="AD660" s="118"/>
    </row>
    <row r="661" ht="15.75" customHeight="1">
      <c r="M661" s="113"/>
      <c r="N661" s="113"/>
      <c r="O661" s="113"/>
      <c r="P661" s="113"/>
      <c r="AC661" s="117"/>
      <c r="AD661" s="118"/>
    </row>
    <row r="662" ht="15.75" customHeight="1">
      <c r="M662" s="113"/>
      <c r="N662" s="113"/>
      <c r="O662" s="113"/>
      <c r="P662" s="113"/>
      <c r="AC662" s="117"/>
      <c r="AD662" s="118"/>
    </row>
    <row r="663" ht="15.75" customHeight="1">
      <c r="M663" s="113"/>
      <c r="N663" s="113"/>
      <c r="O663" s="113"/>
      <c r="P663" s="113"/>
      <c r="AC663" s="117"/>
      <c r="AD663" s="118"/>
    </row>
    <row r="664" ht="15.75" customHeight="1">
      <c r="M664" s="113"/>
      <c r="N664" s="113"/>
      <c r="O664" s="113"/>
      <c r="P664" s="113"/>
      <c r="AC664" s="117"/>
      <c r="AD664" s="118"/>
    </row>
    <row r="665" ht="15.75" customHeight="1">
      <c r="M665" s="113"/>
      <c r="N665" s="113"/>
      <c r="O665" s="113"/>
      <c r="P665" s="113"/>
      <c r="AC665" s="117"/>
      <c r="AD665" s="118"/>
    </row>
    <row r="666" ht="15.75" customHeight="1">
      <c r="M666" s="113"/>
      <c r="N666" s="113"/>
      <c r="O666" s="113"/>
      <c r="P666" s="113"/>
      <c r="AC666" s="117"/>
      <c r="AD666" s="118"/>
    </row>
    <row r="667" ht="15.75" customHeight="1">
      <c r="M667" s="113"/>
      <c r="N667" s="113"/>
      <c r="O667" s="113"/>
      <c r="P667" s="113"/>
      <c r="AC667" s="117"/>
      <c r="AD667" s="118"/>
    </row>
    <row r="668" ht="15.75" customHeight="1">
      <c r="M668" s="113"/>
      <c r="N668" s="113"/>
      <c r="O668" s="113"/>
      <c r="P668" s="113"/>
      <c r="AC668" s="117"/>
      <c r="AD668" s="118"/>
    </row>
    <row r="669" ht="15.75" customHeight="1">
      <c r="M669" s="113"/>
      <c r="N669" s="113"/>
      <c r="O669" s="113"/>
      <c r="P669" s="113"/>
      <c r="AC669" s="117"/>
      <c r="AD669" s="118"/>
    </row>
    <row r="670" ht="15.75" customHeight="1">
      <c r="M670" s="113"/>
      <c r="N670" s="113"/>
      <c r="O670" s="113"/>
      <c r="P670" s="113"/>
      <c r="AC670" s="117"/>
      <c r="AD670" s="118"/>
    </row>
    <row r="671" ht="15.75" customHeight="1">
      <c r="M671" s="113"/>
      <c r="N671" s="113"/>
      <c r="O671" s="113"/>
      <c r="P671" s="113"/>
      <c r="AC671" s="117"/>
      <c r="AD671" s="118"/>
    </row>
    <row r="672" ht="15.75" customHeight="1">
      <c r="M672" s="113"/>
      <c r="N672" s="113"/>
      <c r="O672" s="113"/>
      <c r="P672" s="113"/>
      <c r="AC672" s="117"/>
      <c r="AD672" s="118"/>
    </row>
    <row r="673" ht="15.75" customHeight="1">
      <c r="M673" s="113"/>
      <c r="N673" s="113"/>
      <c r="O673" s="113"/>
      <c r="P673" s="113"/>
      <c r="AC673" s="117"/>
      <c r="AD673" s="118"/>
    </row>
    <row r="674" ht="15.75" customHeight="1">
      <c r="M674" s="113"/>
      <c r="N674" s="113"/>
      <c r="O674" s="113"/>
      <c r="P674" s="113"/>
      <c r="AC674" s="117"/>
      <c r="AD674" s="118"/>
    </row>
    <row r="675" ht="15.75" customHeight="1">
      <c r="M675" s="113"/>
      <c r="N675" s="113"/>
      <c r="O675" s="113"/>
      <c r="P675" s="113"/>
      <c r="AC675" s="117"/>
      <c r="AD675" s="118"/>
    </row>
    <row r="676" ht="15.75" customHeight="1">
      <c r="M676" s="113"/>
      <c r="N676" s="113"/>
      <c r="O676" s="113"/>
      <c r="P676" s="113"/>
      <c r="AC676" s="117"/>
      <c r="AD676" s="118"/>
    </row>
    <row r="677" ht="15.75" customHeight="1">
      <c r="M677" s="113"/>
      <c r="N677" s="113"/>
      <c r="O677" s="113"/>
      <c r="P677" s="113"/>
      <c r="AC677" s="117"/>
      <c r="AD677" s="118"/>
    </row>
    <row r="678" ht="15.75" customHeight="1">
      <c r="M678" s="113"/>
      <c r="N678" s="113"/>
      <c r="O678" s="113"/>
      <c r="P678" s="113"/>
      <c r="AC678" s="117"/>
      <c r="AD678" s="118"/>
    </row>
    <row r="679" ht="15.75" customHeight="1">
      <c r="M679" s="113"/>
      <c r="N679" s="113"/>
      <c r="O679" s="113"/>
      <c r="P679" s="113"/>
      <c r="AC679" s="117"/>
      <c r="AD679" s="118"/>
    </row>
    <row r="680" ht="15.75" customHeight="1">
      <c r="M680" s="113"/>
      <c r="N680" s="113"/>
      <c r="O680" s="113"/>
      <c r="P680" s="113"/>
      <c r="AC680" s="117"/>
      <c r="AD680" s="118"/>
    </row>
    <row r="681" ht="15.75" customHeight="1">
      <c r="M681" s="113"/>
      <c r="N681" s="113"/>
      <c r="O681" s="113"/>
      <c r="P681" s="113"/>
      <c r="AC681" s="117"/>
      <c r="AD681" s="118"/>
    </row>
    <row r="682" ht="15.75" customHeight="1">
      <c r="M682" s="113"/>
      <c r="N682" s="113"/>
      <c r="O682" s="113"/>
      <c r="P682" s="113"/>
      <c r="AC682" s="117"/>
      <c r="AD682" s="118"/>
    </row>
    <row r="683" ht="15.75" customHeight="1">
      <c r="M683" s="113"/>
      <c r="N683" s="113"/>
      <c r="O683" s="113"/>
      <c r="P683" s="113"/>
      <c r="AC683" s="117"/>
      <c r="AD683" s="118"/>
    </row>
    <row r="684" ht="15.75" customHeight="1">
      <c r="M684" s="113"/>
      <c r="N684" s="113"/>
      <c r="O684" s="113"/>
      <c r="P684" s="113"/>
      <c r="AC684" s="117"/>
      <c r="AD684" s="118"/>
    </row>
    <row r="685" ht="15.75" customHeight="1">
      <c r="M685" s="113"/>
      <c r="N685" s="113"/>
      <c r="O685" s="113"/>
      <c r="P685" s="113"/>
      <c r="AC685" s="117"/>
      <c r="AD685" s="118"/>
    </row>
    <row r="686" ht="15.75" customHeight="1">
      <c r="M686" s="113"/>
      <c r="N686" s="113"/>
      <c r="O686" s="113"/>
      <c r="P686" s="113"/>
      <c r="AC686" s="117"/>
      <c r="AD686" s="118"/>
    </row>
    <row r="687" ht="15.75" customHeight="1">
      <c r="M687" s="113"/>
      <c r="N687" s="113"/>
      <c r="O687" s="113"/>
      <c r="P687" s="113"/>
      <c r="AC687" s="117"/>
      <c r="AD687" s="118"/>
    </row>
    <row r="688" ht="15.75" customHeight="1">
      <c r="M688" s="113"/>
      <c r="N688" s="113"/>
      <c r="O688" s="113"/>
      <c r="P688" s="113"/>
      <c r="AC688" s="117"/>
      <c r="AD688" s="118"/>
    </row>
    <row r="689" ht="15.75" customHeight="1">
      <c r="M689" s="113"/>
      <c r="N689" s="113"/>
      <c r="O689" s="113"/>
      <c r="P689" s="113"/>
      <c r="AC689" s="117"/>
      <c r="AD689" s="118"/>
    </row>
    <row r="690" ht="15.75" customHeight="1">
      <c r="M690" s="113"/>
      <c r="N690" s="113"/>
      <c r="O690" s="113"/>
      <c r="P690" s="113"/>
      <c r="AC690" s="117"/>
      <c r="AD690" s="118"/>
    </row>
    <row r="691" ht="15.75" customHeight="1">
      <c r="M691" s="113"/>
      <c r="N691" s="113"/>
      <c r="O691" s="113"/>
      <c r="P691" s="113"/>
      <c r="AC691" s="117"/>
      <c r="AD691" s="118"/>
    </row>
    <row r="692" ht="15.75" customHeight="1">
      <c r="M692" s="113"/>
      <c r="N692" s="113"/>
      <c r="O692" s="113"/>
      <c r="P692" s="113"/>
      <c r="AC692" s="117"/>
      <c r="AD692" s="118"/>
    </row>
    <row r="693" ht="15.75" customHeight="1">
      <c r="M693" s="113"/>
      <c r="N693" s="113"/>
      <c r="O693" s="113"/>
      <c r="P693" s="113"/>
      <c r="AC693" s="117"/>
      <c r="AD693" s="118"/>
    </row>
    <row r="694" ht="15.75" customHeight="1">
      <c r="M694" s="113"/>
      <c r="N694" s="113"/>
      <c r="O694" s="113"/>
      <c r="P694" s="113"/>
      <c r="AC694" s="117"/>
      <c r="AD694" s="118"/>
    </row>
    <row r="695" ht="15.75" customHeight="1">
      <c r="M695" s="113"/>
      <c r="N695" s="113"/>
      <c r="O695" s="113"/>
      <c r="P695" s="113"/>
      <c r="AC695" s="117"/>
      <c r="AD695" s="118"/>
    </row>
    <row r="696" ht="15.75" customHeight="1">
      <c r="M696" s="113"/>
      <c r="N696" s="113"/>
      <c r="O696" s="113"/>
      <c r="P696" s="113"/>
      <c r="AC696" s="117"/>
      <c r="AD696" s="118"/>
    </row>
    <row r="697" ht="15.75" customHeight="1">
      <c r="M697" s="113"/>
      <c r="N697" s="113"/>
      <c r="O697" s="113"/>
      <c r="P697" s="113"/>
      <c r="AC697" s="117"/>
      <c r="AD697" s="118"/>
    </row>
    <row r="698" ht="15.75" customHeight="1">
      <c r="M698" s="113"/>
      <c r="N698" s="113"/>
      <c r="O698" s="113"/>
      <c r="P698" s="113"/>
      <c r="AC698" s="117"/>
      <c r="AD698" s="118"/>
    </row>
    <row r="699" ht="15.75" customHeight="1">
      <c r="M699" s="113"/>
      <c r="N699" s="113"/>
      <c r="O699" s="113"/>
      <c r="P699" s="113"/>
      <c r="AC699" s="117"/>
      <c r="AD699" s="118"/>
    </row>
    <row r="700" ht="15.75" customHeight="1">
      <c r="M700" s="113"/>
      <c r="N700" s="113"/>
      <c r="O700" s="113"/>
      <c r="P700" s="113"/>
      <c r="AC700" s="117"/>
      <c r="AD700" s="118"/>
    </row>
    <row r="701" ht="15.75" customHeight="1">
      <c r="M701" s="113"/>
      <c r="N701" s="113"/>
      <c r="O701" s="113"/>
      <c r="P701" s="113"/>
      <c r="AC701" s="117"/>
      <c r="AD701" s="118"/>
    </row>
    <row r="702" ht="15.75" customHeight="1">
      <c r="M702" s="113"/>
      <c r="N702" s="113"/>
      <c r="O702" s="113"/>
      <c r="P702" s="113"/>
      <c r="AC702" s="117"/>
      <c r="AD702" s="118"/>
    </row>
    <row r="703" ht="15.75" customHeight="1">
      <c r="M703" s="113"/>
      <c r="N703" s="113"/>
      <c r="O703" s="113"/>
      <c r="P703" s="113"/>
      <c r="AC703" s="117"/>
      <c r="AD703" s="118"/>
    </row>
    <row r="704" ht="15.75" customHeight="1">
      <c r="M704" s="113"/>
      <c r="N704" s="113"/>
      <c r="O704" s="113"/>
      <c r="P704" s="113"/>
      <c r="AC704" s="117"/>
      <c r="AD704" s="118"/>
    </row>
    <row r="705" ht="15.75" customHeight="1">
      <c r="M705" s="113"/>
      <c r="N705" s="113"/>
      <c r="O705" s="113"/>
      <c r="P705" s="113"/>
      <c r="AC705" s="117"/>
      <c r="AD705" s="118"/>
    </row>
    <row r="706" ht="15.75" customHeight="1">
      <c r="M706" s="113"/>
      <c r="N706" s="113"/>
      <c r="O706" s="113"/>
      <c r="P706" s="113"/>
      <c r="AC706" s="117"/>
      <c r="AD706" s="118"/>
    </row>
    <row r="707" ht="15.75" customHeight="1">
      <c r="M707" s="113"/>
      <c r="N707" s="113"/>
      <c r="O707" s="113"/>
      <c r="P707" s="113"/>
      <c r="AC707" s="117"/>
      <c r="AD707" s="118"/>
    </row>
    <row r="708" ht="15.75" customHeight="1">
      <c r="M708" s="113"/>
      <c r="N708" s="113"/>
      <c r="O708" s="113"/>
      <c r="P708" s="113"/>
      <c r="AC708" s="117"/>
      <c r="AD708" s="118"/>
    </row>
    <row r="709" ht="15.75" customHeight="1">
      <c r="M709" s="113"/>
      <c r="N709" s="113"/>
      <c r="O709" s="113"/>
      <c r="P709" s="113"/>
      <c r="AC709" s="117"/>
      <c r="AD709" s="118"/>
    </row>
    <row r="710" ht="15.75" customHeight="1">
      <c r="M710" s="113"/>
      <c r="N710" s="113"/>
      <c r="O710" s="113"/>
      <c r="P710" s="113"/>
      <c r="AC710" s="117"/>
      <c r="AD710" s="118"/>
    </row>
    <row r="711" ht="15.75" customHeight="1">
      <c r="M711" s="113"/>
      <c r="N711" s="113"/>
      <c r="O711" s="113"/>
      <c r="P711" s="113"/>
      <c r="AC711" s="117"/>
      <c r="AD711" s="118"/>
    </row>
    <row r="712" ht="15.75" customHeight="1">
      <c r="M712" s="113"/>
      <c r="N712" s="113"/>
      <c r="O712" s="113"/>
      <c r="P712" s="113"/>
      <c r="AC712" s="117"/>
      <c r="AD712" s="118"/>
    </row>
    <row r="713" ht="15.75" customHeight="1">
      <c r="M713" s="113"/>
      <c r="N713" s="113"/>
      <c r="O713" s="113"/>
      <c r="P713" s="113"/>
      <c r="AC713" s="117"/>
      <c r="AD713" s="118"/>
    </row>
    <row r="714" ht="15.75" customHeight="1">
      <c r="M714" s="113"/>
      <c r="N714" s="113"/>
      <c r="O714" s="113"/>
      <c r="P714" s="113"/>
      <c r="AC714" s="117"/>
      <c r="AD714" s="118"/>
    </row>
    <row r="715" ht="15.75" customHeight="1">
      <c r="M715" s="113"/>
      <c r="N715" s="113"/>
      <c r="O715" s="113"/>
      <c r="P715" s="113"/>
      <c r="AC715" s="117"/>
      <c r="AD715" s="118"/>
    </row>
    <row r="716" ht="15.75" customHeight="1">
      <c r="M716" s="113"/>
      <c r="N716" s="113"/>
      <c r="O716" s="113"/>
      <c r="P716" s="113"/>
      <c r="AC716" s="117"/>
      <c r="AD716" s="118"/>
    </row>
    <row r="717" ht="15.75" customHeight="1">
      <c r="M717" s="113"/>
      <c r="N717" s="113"/>
      <c r="O717" s="113"/>
      <c r="P717" s="113"/>
      <c r="AC717" s="117"/>
      <c r="AD717" s="118"/>
    </row>
    <row r="718" ht="15.75" customHeight="1">
      <c r="M718" s="113"/>
      <c r="N718" s="113"/>
      <c r="O718" s="113"/>
      <c r="P718" s="113"/>
      <c r="AC718" s="117"/>
      <c r="AD718" s="118"/>
    </row>
    <row r="719" ht="15.75" customHeight="1">
      <c r="M719" s="113"/>
      <c r="N719" s="113"/>
      <c r="O719" s="113"/>
      <c r="P719" s="113"/>
      <c r="AC719" s="117"/>
      <c r="AD719" s="118"/>
    </row>
    <row r="720" ht="15.75" customHeight="1">
      <c r="M720" s="113"/>
      <c r="N720" s="113"/>
      <c r="O720" s="113"/>
      <c r="P720" s="113"/>
      <c r="AC720" s="117"/>
      <c r="AD720" s="118"/>
    </row>
    <row r="721" ht="15.75" customHeight="1">
      <c r="M721" s="113"/>
      <c r="N721" s="113"/>
      <c r="O721" s="113"/>
      <c r="P721" s="113"/>
      <c r="AC721" s="117"/>
      <c r="AD721" s="118"/>
    </row>
    <row r="722" ht="15.75" customHeight="1">
      <c r="M722" s="113"/>
      <c r="N722" s="113"/>
      <c r="O722" s="113"/>
      <c r="P722" s="113"/>
      <c r="AC722" s="117"/>
      <c r="AD722" s="118"/>
    </row>
    <row r="723" ht="15.75" customHeight="1">
      <c r="M723" s="113"/>
      <c r="N723" s="113"/>
      <c r="O723" s="113"/>
      <c r="P723" s="113"/>
      <c r="AC723" s="117"/>
      <c r="AD723" s="118"/>
    </row>
    <row r="724" ht="15.75" customHeight="1">
      <c r="M724" s="113"/>
      <c r="N724" s="113"/>
      <c r="O724" s="113"/>
      <c r="P724" s="113"/>
      <c r="AC724" s="117"/>
      <c r="AD724" s="118"/>
    </row>
    <row r="725" ht="15.75" customHeight="1">
      <c r="M725" s="113"/>
      <c r="N725" s="113"/>
      <c r="O725" s="113"/>
      <c r="P725" s="113"/>
      <c r="AC725" s="117"/>
      <c r="AD725" s="118"/>
    </row>
    <row r="726" ht="15.75" customHeight="1">
      <c r="M726" s="113"/>
      <c r="N726" s="113"/>
      <c r="O726" s="113"/>
      <c r="P726" s="113"/>
      <c r="AC726" s="117"/>
      <c r="AD726" s="118"/>
    </row>
    <row r="727" ht="15.75" customHeight="1">
      <c r="M727" s="113"/>
      <c r="N727" s="113"/>
      <c r="O727" s="113"/>
      <c r="P727" s="113"/>
      <c r="AC727" s="117"/>
      <c r="AD727" s="118"/>
    </row>
    <row r="728" ht="15.75" customHeight="1">
      <c r="M728" s="113"/>
      <c r="N728" s="113"/>
      <c r="O728" s="113"/>
      <c r="P728" s="113"/>
      <c r="AC728" s="117"/>
      <c r="AD728" s="118"/>
    </row>
    <row r="729" ht="15.75" customHeight="1">
      <c r="M729" s="113"/>
      <c r="N729" s="113"/>
      <c r="O729" s="113"/>
      <c r="P729" s="113"/>
      <c r="AC729" s="117"/>
      <c r="AD729" s="118"/>
    </row>
    <row r="730" ht="15.75" customHeight="1">
      <c r="M730" s="113"/>
      <c r="N730" s="113"/>
      <c r="O730" s="113"/>
      <c r="P730" s="113"/>
      <c r="AC730" s="117"/>
      <c r="AD730" s="118"/>
    </row>
    <row r="731" ht="15.75" customHeight="1">
      <c r="M731" s="113"/>
      <c r="N731" s="113"/>
      <c r="O731" s="113"/>
      <c r="P731" s="113"/>
      <c r="AC731" s="117"/>
      <c r="AD731" s="118"/>
    </row>
    <row r="732" ht="15.75" customHeight="1">
      <c r="M732" s="113"/>
      <c r="N732" s="113"/>
      <c r="O732" s="113"/>
      <c r="P732" s="113"/>
      <c r="AC732" s="117"/>
      <c r="AD732" s="118"/>
    </row>
    <row r="733" ht="15.75" customHeight="1">
      <c r="M733" s="113"/>
      <c r="N733" s="113"/>
      <c r="O733" s="113"/>
      <c r="P733" s="113"/>
      <c r="AC733" s="117"/>
      <c r="AD733" s="118"/>
    </row>
    <row r="734" ht="15.75" customHeight="1">
      <c r="M734" s="113"/>
      <c r="N734" s="113"/>
      <c r="O734" s="113"/>
      <c r="P734" s="113"/>
      <c r="AC734" s="117"/>
      <c r="AD734" s="118"/>
    </row>
    <row r="735" ht="15.75" customHeight="1">
      <c r="M735" s="113"/>
      <c r="N735" s="113"/>
      <c r="O735" s="113"/>
      <c r="P735" s="113"/>
      <c r="AC735" s="117"/>
      <c r="AD735" s="118"/>
    </row>
    <row r="736" ht="15.75" customHeight="1">
      <c r="M736" s="113"/>
      <c r="N736" s="113"/>
      <c r="O736" s="113"/>
      <c r="P736" s="113"/>
      <c r="AC736" s="117"/>
      <c r="AD736" s="118"/>
    </row>
    <row r="737" ht="15.75" customHeight="1">
      <c r="M737" s="113"/>
      <c r="N737" s="113"/>
      <c r="O737" s="113"/>
      <c r="P737" s="113"/>
      <c r="AC737" s="117"/>
      <c r="AD737" s="118"/>
    </row>
    <row r="738" ht="15.75" customHeight="1">
      <c r="M738" s="113"/>
      <c r="N738" s="113"/>
      <c r="O738" s="113"/>
      <c r="P738" s="113"/>
      <c r="AC738" s="117"/>
      <c r="AD738" s="118"/>
    </row>
    <row r="739" ht="15.75" customHeight="1">
      <c r="M739" s="113"/>
      <c r="N739" s="113"/>
      <c r="O739" s="113"/>
      <c r="P739" s="113"/>
      <c r="AC739" s="117"/>
      <c r="AD739" s="118"/>
    </row>
    <row r="740" ht="15.75" customHeight="1">
      <c r="M740" s="113"/>
      <c r="N740" s="113"/>
      <c r="O740" s="113"/>
      <c r="P740" s="113"/>
      <c r="AC740" s="117"/>
      <c r="AD740" s="118"/>
    </row>
    <row r="741" ht="15.75" customHeight="1">
      <c r="M741" s="113"/>
      <c r="N741" s="113"/>
      <c r="O741" s="113"/>
      <c r="P741" s="113"/>
      <c r="AC741" s="117"/>
      <c r="AD741" s="118"/>
    </row>
    <row r="742" ht="15.75" customHeight="1">
      <c r="M742" s="113"/>
      <c r="N742" s="113"/>
      <c r="O742" s="113"/>
      <c r="P742" s="113"/>
      <c r="AC742" s="117"/>
      <c r="AD742" s="118"/>
    </row>
    <row r="743" ht="15.75" customHeight="1">
      <c r="M743" s="113"/>
      <c r="N743" s="113"/>
      <c r="O743" s="113"/>
      <c r="P743" s="113"/>
      <c r="AC743" s="117"/>
      <c r="AD743" s="118"/>
    </row>
    <row r="744" ht="15.75" customHeight="1">
      <c r="M744" s="113"/>
      <c r="N744" s="113"/>
      <c r="O744" s="113"/>
      <c r="P744" s="113"/>
      <c r="AC744" s="117"/>
      <c r="AD744" s="118"/>
    </row>
    <row r="745" ht="15.75" customHeight="1">
      <c r="M745" s="113"/>
      <c r="N745" s="113"/>
      <c r="O745" s="113"/>
      <c r="P745" s="113"/>
      <c r="AC745" s="117"/>
      <c r="AD745" s="118"/>
    </row>
    <row r="746" ht="15.75" customHeight="1">
      <c r="M746" s="113"/>
      <c r="N746" s="113"/>
      <c r="O746" s="113"/>
      <c r="P746" s="113"/>
      <c r="AC746" s="117"/>
      <c r="AD746" s="118"/>
    </row>
    <row r="747" ht="15.75" customHeight="1">
      <c r="M747" s="113"/>
      <c r="N747" s="113"/>
      <c r="O747" s="113"/>
      <c r="P747" s="113"/>
      <c r="AC747" s="117"/>
      <c r="AD747" s="118"/>
    </row>
    <row r="748" ht="15.75" customHeight="1">
      <c r="M748" s="113"/>
      <c r="N748" s="113"/>
      <c r="O748" s="113"/>
      <c r="P748" s="113"/>
      <c r="AC748" s="117"/>
      <c r="AD748" s="118"/>
    </row>
    <row r="749" ht="15.75" customHeight="1">
      <c r="M749" s="113"/>
      <c r="N749" s="113"/>
      <c r="O749" s="113"/>
      <c r="P749" s="113"/>
      <c r="AC749" s="117"/>
      <c r="AD749" s="118"/>
    </row>
    <row r="750" ht="15.75" customHeight="1">
      <c r="M750" s="113"/>
      <c r="N750" s="113"/>
      <c r="O750" s="113"/>
      <c r="P750" s="113"/>
      <c r="AC750" s="117"/>
      <c r="AD750" s="118"/>
    </row>
    <row r="751" ht="15.75" customHeight="1">
      <c r="M751" s="113"/>
      <c r="N751" s="113"/>
      <c r="O751" s="113"/>
      <c r="P751" s="113"/>
      <c r="AC751" s="117"/>
      <c r="AD751" s="118"/>
    </row>
    <row r="752" ht="15.75" customHeight="1">
      <c r="M752" s="113"/>
      <c r="N752" s="113"/>
      <c r="O752" s="113"/>
      <c r="P752" s="113"/>
      <c r="AC752" s="117"/>
      <c r="AD752" s="118"/>
    </row>
    <row r="753" ht="15.75" customHeight="1">
      <c r="M753" s="113"/>
      <c r="N753" s="113"/>
      <c r="O753" s="113"/>
      <c r="P753" s="113"/>
      <c r="AC753" s="117"/>
      <c r="AD753" s="118"/>
    </row>
    <row r="754" ht="15.75" customHeight="1">
      <c r="M754" s="113"/>
      <c r="N754" s="113"/>
      <c r="O754" s="113"/>
      <c r="P754" s="113"/>
      <c r="AC754" s="117"/>
      <c r="AD754" s="118"/>
    </row>
    <row r="755" ht="15.75" customHeight="1">
      <c r="M755" s="113"/>
      <c r="N755" s="113"/>
      <c r="O755" s="113"/>
      <c r="P755" s="113"/>
      <c r="AC755" s="117"/>
      <c r="AD755" s="118"/>
    </row>
    <row r="756" ht="15.75" customHeight="1">
      <c r="M756" s="113"/>
      <c r="N756" s="113"/>
      <c r="O756" s="113"/>
      <c r="P756" s="113"/>
      <c r="AC756" s="117"/>
      <c r="AD756" s="118"/>
    </row>
    <row r="757" ht="15.75" customHeight="1">
      <c r="M757" s="113"/>
      <c r="N757" s="113"/>
      <c r="O757" s="113"/>
      <c r="P757" s="113"/>
      <c r="AC757" s="117"/>
      <c r="AD757" s="118"/>
    </row>
    <row r="758" ht="15.75" customHeight="1">
      <c r="M758" s="113"/>
      <c r="N758" s="113"/>
      <c r="O758" s="113"/>
      <c r="P758" s="113"/>
      <c r="AC758" s="117"/>
      <c r="AD758" s="118"/>
    </row>
    <row r="759" ht="15.75" customHeight="1">
      <c r="M759" s="113"/>
      <c r="N759" s="113"/>
      <c r="O759" s="113"/>
      <c r="P759" s="113"/>
      <c r="AC759" s="117"/>
      <c r="AD759" s="118"/>
    </row>
    <row r="760" ht="15.75" customHeight="1">
      <c r="M760" s="113"/>
      <c r="N760" s="113"/>
      <c r="O760" s="113"/>
      <c r="P760" s="113"/>
      <c r="AC760" s="117"/>
      <c r="AD760" s="118"/>
    </row>
    <row r="761" ht="15.75" customHeight="1">
      <c r="M761" s="113"/>
      <c r="N761" s="113"/>
      <c r="O761" s="113"/>
      <c r="P761" s="113"/>
      <c r="AC761" s="117"/>
      <c r="AD761" s="118"/>
    </row>
    <row r="762" ht="15.75" customHeight="1">
      <c r="M762" s="113"/>
      <c r="N762" s="113"/>
      <c r="O762" s="113"/>
      <c r="P762" s="113"/>
      <c r="AC762" s="117"/>
      <c r="AD762" s="118"/>
    </row>
    <row r="763" ht="15.75" customHeight="1">
      <c r="M763" s="113"/>
      <c r="N763" s="113"/>
      <c r="O763" s="113"/>
      <c r="P763" s="113"/>
      <c r="AC763" s="117"/>
      <c r="AD763" s="118"/>
    </row>
    <row r="764" ht="15.75" customHeight="1">
      <c r="M764" s="113"/>
      <c r="N764" s="113"/>
      <c r="O764" s="113"/>
      <c r="P764" s="113"/>
      <c r="AC764" s="117"/>
      <c r="AD764" s="118"/>
    </row>
    <row r="765" ht="15.75" customHeight="1">
      <c r="M765" s="113"/>
      <c r="N765" s="113"/>
      <c r="O765" s="113"/>
      <c r="P765" s="113"/>
      <c r="AC765" s="117"/>
      <c r="AD765" s="118"/>
    </row>
    <row r="766" ht="15.75" customHeight="1">
      <c r="M766" s="113"/>
      <c r="N766" s="113"/>
      <c r="O766" s="113"/>
      <c r="P766" s="113"/>
      <c r="AC766" s="117"/>
      <c r="AD766" s="118"/>
    </row>
    <row r="767" ht="15.75" customHeight="1">
      <c r="M767" s="113"/>
      <c r="N767" s="113"/>
      <c r="O767" s="113"/>
      <c r="P767" s="113"/>
      <c r="AC767" s="117"/>
      <c r="AD767" s="118"/>
    </row>
    <row r="768" ht="15.75" customHeight="1">
      <c r="M768" s="113"/>
      <c r="N768" s="113"/>
      <c r="O768" s="113"/>
      <c r="P768" s="113"/>
      <c r="AC768" s="117"/>
      <c r="AD768" s="118"/>
    </row>
    <row r="769" ht="15.75" customHeight="1">
      <c r="M769" s="113"/>
      <c r="N769" s="113"/>
      <c r="O769" s="113"/>
      <c r="P769" s="113"/>
      <c r="AC769" s="117"/>
      <c r="AD769" s="118"/>
    </row>
    <row r="770" ht="15.75" customHeight="1">
      <c r="M770" s="113"/>
      <c r="N770" s="113"/>
      <c r="O770" s="113"/>
      <c r="P770" s="113"/>
      <c r="AC770" s="117"/>
      <c r="AD770" s="118"/>
    </row>
    <row r="771" ht="15.75" customHeight="1">
      <c r="M771" s="113"/>
      <c r="N771" s="113"/>
      <c r="O771" s="113"/>
      <c r="P771" s="113"/>
      <c r="AC771" s="117"/>
      <c r="AD771" s="118"/>
    </row>
    <row r="772" ht="15.75" customHeight="1">
      <c r="M772" s="113"/>
      <c r="N772" s="113"/>
      <c r="O772" s="113"/>
      <c r="P772" s="113"/>
      <c r="AC772" s="117"/>
      <c r="AD772" s="118"/>
    </row>
    <row r="773" ht="15.75" customHeight="1">
      <c r="M773" s="113"/>
      <c r="N773" s="113"/>
      <c r="O773" s="113"/>
      <c r="P773" s="113"/>
      <c r="AC773" s="117"/>
      <c r="AD773" s="118"/>
    </row>
    <row r="774" ht="15.75" customHeight="1">
      <c r="M774" s="113"/>
      <c r="N774" s="113"/>
      <c r="O774" s="113"/>
      <c r="P774" s="113"/>
      <c r="AC774" s="117"/>
      <c r="AD774" s="118"/>
    </row>
    <row r="775" ht="15.75" customHeight="1">
      <c r="M775" s="113"/>
      <c r="N775" s="113"/>
      <c r="O775" s="113"/>
      <c r="P775" s="113"/>
      <c r="AC775" s="117"/>
      <c r="AD775" s="118"/>
    </row>
    <row r="776" ht="15.75" customHeight="1">
      <c r="M776" s="113"/>
      <c r="N776" s="113"/>
      <c r="O776" s="113"/>
      <c r="P776" s="113"/>
      <c r="AC776" s="117"/>
      <c r="AD776" s="118"/>
    </row>
    <row r="777" ht="15.75" customHeight="1">
      <c r="M777" s="113"/>
      <c r="N777" s="113"/>
      <c r="O777" s="113"/>
      <c r="P777" s="113"/>
      <c r="AC777" s="117"/>
      <c r="AD777" s="118"/>
    </row>
    <row r="778" ht="15.75" customHeight="1">
      <c r="M778" s="113"/>
      <c r="N778" s="113"/>
      <c r="O778" s="113"/>
      <c r="P778" s="113"/>
      <c r="AC778" s="117"/>
      <c r="AD778" s="118"/>
    </row>
    <row r="779" ht="15.75" customHeight="1">
      <c r="M779" s="113"/>
      <c r="N779" s="113"/>
      <c r="O779" s="113"/>
      <c r="P779" s="113"/>
      <c r="AC779" s="117"/>
      <c r="AD779" s="118"/>
    </row>
    <row r="780" ht="15.75" customHeight="1">
      <c r="M780" s="113"/>
      <c r="N780" s="113"/>
      <c r="O780" s="113"/>
      <c r="P780" s="113"/>
      <c r="AC780" s="117"/>
      <c r="AD780" s="118"/>
    </row>
    <row r="781" ht="15.75" customHeight="1">
      <c r="M781" s="113"/>
      <c r="N781" s="113"/>
      <c r="O781" s="113"/>
      <c r="P781" s="113"/>
      <c r="AC781" s="117"/>
      <c r="AD781" s="118"/>
    </row>
    <row r="782" ht="15.75" customHeight="1">
      <c r="M782" s="113"/>
      <c r="N782" s="113"/>
      <c r="O782" s="113"/>
      <c r="P782" s="113"/>
      <c r="AC782" s="117"/>
      <c r="AD782" s="118"/>
    </row>
    <row r="783" ht="15.75" customHeight="1">
      <c r="M783" s="113"/>
      <c r="N783" s="113"/>
      <c r="O783" s="113"/>
      <c r="P783" s="113"/>
      <c r="AC783" s="117"/>
      <c r="AD783" s="118"/>
    </row>
    <row r="784" ht="15.75" customHeight="1">
      <c r="M784" s="113"/>
      <c r="N784" s="113"/>
      <c r="O784" s="113"/>
      <c r="P784" s="113"/>
      <c r="AC784" s="117"/>
      <c r="AD784" s="118"/>
    </row>
    <row r="785" ht="15.75" customHeight="1">
      <c r="M785" s="113"/>
      <c r="N785" s="113"/>
      <c r="O785" s="113"/>
      <c r="P785" s="113"/>
      <c r="AC785" s="117"/>
      <c r="AD785" s="118"/>
    </row>
    <row r="786" ht="15.75" customHeight="1">
      <c r="M786" s="113"/>
      <c r="N786" s="113"/>
      <c r="O786" s="113"/>
      <c r="P786" s="113"/>
      <c r="AC786" s="117"/>
      <c r="AD786" s="118"/>
    </row>
    <row r="787" ht="15.75" customHeight="1">
      <c r="M787" s="113"/>
      <c r="N787" s="113"/>
      <c r="O787" s="113"/>
      <c r="P787" s="113"/>
      <c r="AC787" s="117"/>
      <c r="AD787" s="118"/>
    </row>
    <row r="788" ht="15.75" customHeight="1">
      <c r="M788" s="113"/>
      <c r="N788" s="113"/>
      <c r="O788" s="113"/>
      <c r="P788" s="113"/>
      <c r="AC788" s="117"/>
      <c r="AD788" s="118"/>
    </row>
    <row r="789" ht="15.75" customHeight="1">
      <c r="M789" s="113"/>
      <c r="N789" s="113"/>
      <c r="O789" s="113"/>
      <c r="P789" s="113"/>
      <c r="AC789" s="117"/>
      <c r="AD789" s="118"/>
    </row>
    <row r="790" ht="15.75" customHeight="1">
      <c r="M790" s="113"/>
      <c r="N790" s="113"/>
      <c r="O790" s="113"/>
      <c r="P790" s="113"/>
      <c r="AC790" s="117"/>
      <c r="AD790" s="118"/>
    </row>
    <row r="791" ht="15.75" customHeight="1">
      <c r="M791" s="113"/>
      <c r="N791" s="113"/>
      <c r="O791" s="113"/>
      <c r="P791" s="113"/>
      <c r="AC791" s="117"/>
      <c r="AD791" s="118"/>
    </row>
    <row r="792" ht="15.75" customHeight="1">
      <c r="M792" s="113"/>
      <c r="N792" s="113"/>
      <c r="O792" s="113"/>
      <c r="P792" s="113"/>
      <c r="AC792" s="117"/>
      <c r="AD792" s="118"/>
    </row>
    <row r="793" ht="15.75" customHeight="1">
      <c r="M793" s="113"/>
      <c r="N793" s="113"/>
      <c r="O793" s="113"/>
      <c r="P793" s="113"/>
      <c r="AC793" s="117"/>
      <c r="AD793" s="118"/>
    </row>
    <row r="794" ht="15.75" customHeight="1">
      <c r="M794" s="113"/>
      <c r="N794" s="113"/>
      <c r="O794" s="113"/>
      <c r="P794" s="113"/>
      <c r="AC794" s="117"/>
      <c r="AD794" s="118"/>
    </row>
    <row r="795" ht="15.75" customHeight="1">
      <c r="M795" s="113"/>
      <c r="N795" s="113"/>
      <c r="O795" s="113"/>
      <c r="P795" s="113"/>
      <c r="AC795" s="117"/>
      <c r="AD795" s="118"/>
    </row>
    <row r="796" ht="15.75" customHeight="1">
      <c r="M796" s="113"/>
      <c r="N796" s="113"/>
      <c r="O796" s="113"/>
      <c r="P796" s="113"/>
      <c r="AC796" s="117"/>
      <c r="AD796" s="118"/>
    </row>
    <row r="797" ht="15.75" customHeight="1">
      <c r="M797" s="113"/>
      <c r="N797" s="113"/>
      <c r="O797" s="113"/>
      <c r="P797" s="113"/>
      <c r="AC797" s="117"/>
      <c r="AD797" s="118"/>
    </row>
    <row r="798" ht="15.75" customHeight="1">
      <c r="M798" s="113"/>
      <c r="N798" s="113"/>
      <c r="O798" s="113"/>
      <c r="P798" s="113"/>
      <c r="AC798" s="117"/>
      <c r="AD798" s="118"/>
    </row>
    <row r="799" ht="15.75" customHeight="1">
      <c r="M799" s="113"/>
      <c r="N799" s="113"/>
      <c r="O799" s="113"/>
      <c r="P799" s="113"/>
      <c r="AC799" s="117"/>
      <c r="AD799" s="118"/>
    </row>
    <row r="800" ht="15.75" customHeight="1">
      <c r="M800" s="113"/>
      <c r="N800" s="113"/>
      <c r="O800" s="113"/>
      <c r="P800" s="113"/>
      <c r="AC800" s="117"/>
      <c r="AD800" s="118"/>
    </row>
    <row r="801" ht="15.75" customHeight="1">
      <c r="M801" s="113"/>
      <c r="N801" s="113"/>
      <c r="O801" s="113"/>
      <c r="P801" s="113"/>
      <c r="AC801" s="117"/>
      <c r="AD801" s="118"/>
    </row>
    <row r="802" ht="15.75" customHeight="1">
      <c r="M802" s="113"/>
      <c r="N802" s="113"/>
      <c r="O802" s="113"/>
      <c r="P802" s="113"/>
      <c r="AC802" s="117"/>
      <c r="AD802" s="118"/>
    </row>
    <row r="803" ht="15.75" customHeight="1">
      <c r="M803" s="113"/>
      <c r="N803" s="113"/>
      <c r="O803" s="113"/>
      <c r="P803" s="113"/>
      <c r="AC803" s="117"/>
      <c r="AD803" s="118"/>
    </row>
    <row r="804" ht="15.75" customHeight="1">
      <c r="M804" s="113"/>
      <c r="N804" s="113"/>
      <c r="O804" s="113"/>
      <c r="P804" s="113"/>
      <c r="AC804" s="117"/>
      <c r="AD804" s="118"/>
    </row>
    <row r="805" ht="15.75" customHeight="1">
      <c r="M805" s="113"/>
      <c r="N805" s="113"/>
      <c r="O805" s="113"/>
      <c r="P805" s="113"/>
      <c r="AC805" s="117"/>
      <c r="AD805" s="118"/>
    </row>
    <row r="806" ht="15.75" customHeight="1">
      <c r="M806" s="113"/>
      <c r="N806" s="113"/>
      <c r="O806" s="113"/>
      <c r="P806" s="113"/>
      <c r="AC806" s="117"/>
      <c r="AD806" s="118"/>
    </row>
    <row r="807" ht="15.75" customHeight="1">
      <c r="M807" s="113"/>
      <c r="N807" s="113"/>
      <c r="O807" s="113"/>
      <c r="P807" s="113"/>
      <c r="AC807" s="117"/>
      <c r="AD807" s="118"/>
    </row>
    <row r="808" ht="15.75" customHeight="1">
      <c r="M808" s="113"/>
      <c r="N808" s="113"/>
      <c r="O808" s="113"/>
      <c r="P808" s="113"/>
      <c r="AC808" s="117"/>
      <c r="AD808" s="118"/>
    </row>
    <row r="809" ht="15.75" customHeight="1">
      <c r="M809" s="113"/>
      <c r="N809" s="113"/>
      <c r="O809" s="113"/>
      <c r="P809" s="113"/>
      <c r="AC809" s="117"/>
      <c r="AD809" s="118"/>
    </row>
    <row r="810" ht="15.75" customHeight="1">
      <c r="M810" s="113"/>
      <c r="N810" s="113"/>
      <c r="O810" s="113"/>
      <c r="P810" s="113"/>
      <c r="AC810" s="117"/>
      <c r="AD810" s="118"/>
    </row>
    <row r="811" ht="15.75" customHeight="1">
      <c r="M811" s="113"/>
      <c r="N811" s="113"/>
      <c r="O811" s="113"/>
      <c r="P811" s="113"/>
      <c r="AC811" s="117"/>
      <c r="AD811" s="118"/>
    </row>
    <row r="812" ht="15.75" customHeight="1">
      <c r="M812" s="113"/>
      <c r="N812" s="113"/>
      <c r="O812" s="113"/>
      <c r="P812" s="113"/>
      <c r="AC812" s="117"/>
      <c r="AD812" s="118"/>
    </row>
    <row r="813" ht="15.75" customHeight="1">
      <c r="M813" s="113"/>
      <c r="N813" s="113"/>
      <c r="O813" s="113"/>
      <c r="P813" s="113"/>
      <c r="AC813" s="117"/>
      <c r="AD813" s="118"/>
    </row>
    <row r="814" ht="15.75" customHeight="1">
      <c r="M814" s="113"/>
      <c r="N814" s="113"/>
      <c r="O814" s="113"/>
      <c r="P814" s="113"/>
      <c r="AC814" s="117"/>
      <c r="AD814" s="118"/>
    </row>
    <row r="815" ht="15.75" customHeight="1">
      <c r="M815" s="113"/>
      <c r="N815" s="113"/>
      <c r="O815" s="113"/>
      <c r="P815" s="113"/>
      <c r="AC815" s="117"/>
      <c r="AD815" s="118"/>
    </row>
    <row r="816" ht="15.75" customHeight="1">
      <c r="M816" s="113"/>
      <c r="N816" s="113"/>
      <c r="O816" s="113"/>
      <c r="P816" s="113"/>
      <c r="AC816" s="117"/>
      <c r="AD816" s="118"/>
    </row>
    <row r="817" ht="15.75" customHeight="1">
      <c r="M817" s="113"/>
      <c r="N817" s="113"/>
      <c r="O817" s="113"/>
      <c r="P817" s="113"/>
      <c r="AC817" s="117"/>
      <c r="AD817" s="118"/>
    </row>
    <row r="818" ht="15.75" customHeight="1">
      <c r="M818" s="113"/>
      <c r="N818" s="113"/>
      <c r="O818" s="113"/>
      <c r="P818" s="113"/>
      <c r="AC818" s="117"/>
      <c r="AD818" s="118"/>
    </row>
    <row r="819" ht="15.75" customHeight="1">
      <c r="M819" s="113"/>
      <c r="N819" s="113"/>
      <c r="O819" s="113"/>
      <c r="P819" s="113"/>
      <c r="AC819" s="117"/>
      <c r="AD819" s="118"/>
    </row>
    <row r="820" ht="15.75" customHeight="1">
      <c r="M820" s="113"/>
      <c r="N820" s="113"/>
      <c r="O820" s="113"/>
      <c r="P820" s="113"/>
      <c r="AC820" s="117"/>
      <c r="AD820" s="118"/>
    </row>
    <row r="821" ht="15.75" customHeight="1">
      <c r="M821" s="113"/>
      <c r="N821" s="113"/>
      <c r="O821" s="113"/>
      <c r="P821" s="113"/>
      <c r="AC821" s="117"/>
      <c r="AD821" s="118"/>
    </row>
    <row r="822" ht="15.75" customHeight="1">
      <c r="M822" s="113"/>
      <c r="N822" s="113"/>
      <c r="O822" s="113"/>
      <c r="P822" s="113"/>
      <c r="AC822" s="117"/>
      <c r="AD822" s="118"/>
    </row>
    <row r="823" ht="15.75" customHeight="1">
      <c r="M823" s="113"/>
      <c r="N823" s="113"/>
      <c r="O823" s="113"/>
      <c r="P823" s="113"/>
      <c r="AC823" s="117"/>
      <c r="AD823" s="118"/>
    </row>
    <row r="824" ht="15.75" customHeight="1">
      <c r="M824" s="113"/>
      <c r="N824" s="113"/>
      <c r="O824" s="113"/>
      <c r="P824" s="113"/>
      <c r="AC824" s="117"/>
      <c r="AD824" s="118"/>
    </row>
    <row r="825" ht="15.75" customHeight="1">
      <c r="M825" s="113"/>
      <c r="N825" s="113"/>
      <c r="O825" s="113"/>
      <c r="P825" s="113"/>
      <c r="AC825" s="117"/>
      <c r="AD825" s="118"/>
    </row>
    <row r="826" ht="15.75" customHeight="1">
      <c r="M826" s="113"/>
      <c r="N826" s="113"/>
      <c r="O826" s="113"/>
      <c r="P826" s="113"/>
      <c r="AC826" s="117"/>
      <c r="AD826" s="118"/>
    </row>
    <row r="827" ht="15.75" customHeight="1">
      <c r="M827" s="113"/>
      <c r="N827" s="113"/>
      <c r="O827" s="113"/>
      <c r="P827" s="113"/>
      <c r="AC827" s="117"/>
      <c r="AD827" s="118"/>
    </row>
    <row r="828" ht="15.75" customHeight="1">
      <c r="M828" s="113"/>
      <c r="N828" s="113"/>
      <c r="O828" s="113"/>
      <c r="P828" s="113"/>
      <c r="AC828" s="117"/>
      <c r="AD828" s="118"/>
    </row>
    <row r="829" ht="15.75" customHeight="1">
      <c r="M829" s="113"/>
      <c r="N829" s="113"/>
      <c r="O829" s="113"/>
      <c r="P829" s="113"/>
      <c r="AC829" s="117"/>
      <c r="AD829" s="118"/>
    </row>
    <row r="830" ht="15.75" customHeight="1">
      <c r="M830" s="113"/>
      <c r="N830" s="113"/>
      <c r="O830" s="113"/>
      <c r="P830" s="113"/>
      <c r="AC830" s="117"/>
      <c r="AD830" s="118"/>
    </row>
    <row r="831" ht="15.75" customHeight="1">
      <c r="M831" s="113"/>
      <c r="N831" s="113"/>
      <c r="O831" s="113"/>
      <c r="P831" s="113"/>
      <c r="AC831" s="117"/>
      <c r="AD831" s="118"/>
    </row>
    <row r="832" ht="15.75" customHeight="1">
      <c r="M832" s="113"/>
      <c r="N832" s="113"/>
      <c r="O832" s="113"/>
      <c r="P832" s="113"/>
      <c r="AC832" s="117"/>
      <c r="AD832" s="118"/>
    </row>
    <row r="833" ht="15.75" customHeight="1">
      <c r="M833" s="113"/>
      <c r="N833" s="113"/>
      <c r="O833" s="113"/>
      <c r="P833" s="113"/>
      <c r="AC833" s="117"/>
      <c r="AD833" s="118"/>
    </row>
    <row r="834" ht="15.75" customHeight="1">
      <c r="M834" s="113"/>
      <c r="N834" s="113"/>
      <c r="O834" s="113"/>
      <c r="P834" s="113"/>
      <c r="AC834" s="117"/>
      <c r="AD834" s="118"/>
    </row>
    <row r="835" ht="15.75" customHeight="1">
      <c r="M835" s="113"/>
      <c r="N835" s="113"/>
      <c r="O835" s="113"/>
      <c r="P835" s="113"/>
      <c r="AC835" s="117"/>
      <c r="AD835" s="118"/>
    </row>
    <row r="836" ht="15.75" customHeight="1">
      <c r="M836" s="113"/>
      <c r="N836" s="113"/>
      <c r="O836" s="113"/>
      <c r="P836" s="113"/>
      <c r="AC836" s="117"/>
      <c r="AD836" s="118"/>
    </row>
    <row r="837" ht="15.75" customHeight="1">
      <c r="M837" s="113"/>
      <c r="N837" s="113"/>
      <c r="O837" s="113"/>
      <c r="P837" s="113"/>
      <c r="AC837" s="117"/>
      <c r="AD837" s="118"/>
    </row>
    <row r="838" ht="15.75" customHeight="1">
      <c r="M838" s="113"/>
      <c r="N838" s="113"/>
      <c r="O838" s="113"/>
      <c r="P838" s="113"/>
      <c r="AC838" s="117"/>
      <c r="AD838" s="118"/>
    </row>
    <row r="839" ht="15.75" customHeight="1">
      <c r="M839" s="113"/>
      <c r="N839" s="113"/>
      <c r="O839" s="113"/>
      <c r="P839" s="113"/>
      <c r="AC839" s="117"/>
      <c r="AD839" s="118"/>
    </row>
    <row r="840" ht="15.75" customHeight="1">
      <c r="M840" s="113"/>
      <c r="N840" s="113"/>
      <c r="O840" s="113"/>
      <c r="P840" s="113"/>
      <c r="AC840" s="117"/>
      <c r="AD840" s="118"/>
    </row>
    <row r="841" ht="15.75" customHeight="1">
      <c r="M841" s="113"/>
      <c r="N841" s="113"/>
      <c r="O841" s="113"/>
      <c r="P841" s="113"/>
      <c r="AC841" s="117"/>
      <c r="AD841" s="118"/>
    </row>
    <row r="842" ht="15.75" customHeight="1">
      <c r="M842" s="113"/>
      <c r="N842" s="113"/>
      <c r="O842" s="113"/>
      <c r="P842" s="113"/>
      <c r="AC842" s="117"/>
      <c r="AD842" s="118"/>
    </row>
    <row r="843" ht="15.75" customHeight="1">
      <c r="M843" s="113"/>
      <c r="N843" s="113"/>
      <c r="O843" s="113"/>
      <c r="P843" s="113"/>
      <c r="AC843" s="117"/>
      <c r="AD843" s="118"/>
    </row>
    <row r="844" ht="15.75" customHeight="1">
      <c r="M844" s="113"/>
      <c r="N844" s="113"/>
      <c r="O844" s="113"/>
      <c r="P844" s="113"/>
      <c r="AC844" s="117"/>
      <c r="AD844" s="118"/>
    </row>
    <row r="845" ht="15.75" customHeight="1">
      <c r="M845" s="113"/>
      <c r="N845" s="113"/>
      <c r="O845" s="113"/>
      <c r="P845" s="113"/>
      <c r="AC845" s="117"/>
      <c r="AD845" s="118"/>
    </row>
    <row r="846" ht="15.75" customHeight="1">
      <c r="M846" s="113"/>
      <c r="N846" s="113"/>
      <c r="O846" s="113"/>
      <c r="P846" s="113"/>
      <c r="AC846" s="117"/>
      <c r="AD846" s="118"/>
    </row>
    <row r="847" ht="15.75" customHeight="1">
      <c r="M847" s="113"/>
      <c r="N847" s="113"/>
      <c r="O847" s="113"/>
      <c r="P847" s="113"/>
      <c r="AC847" s="117"/>
      <c r="AD847" s="118"/>
    </row>
    <row r="848" ht="15.75" customHeight="1">
      <c r="M848" s="113"/>
      <c r="N848" s="113"/>
      <c r="O848" s="113"/>
      <c r="P848" s="113"/>
      <c r="AC848" s="117"/>
      <c r="AD848" s="118"/>
    </row>
    <row r="849" ht="15.75" customHeight="1">
      <c r="M849" s="113"/>
      <c r="N849" s="113"/>
      <c r="O849" s="113"/>
      <c r="P849" s="113"/>
      <c r="AC849" s="117"/>
      <c r="AD849" s="118"/>
    </row>
    <row r="850" ht="15.75" customHeight="1">
      <c r="M850" s="113"/>
      <c r="N850" s="113"/>
      <c r="O850" s="113"/>
      <c r="P850" s="113"/>
      <c r="AC850" s="117"/>
      <c r="AD850" s="118"/>
    </row>
    <row r="851" ht="15.75" customHeight="1">
      <c r="M851" s="113"/>
      <c r="N851" s="113"/>
      <c r="O851" s="113"/>
      <c r="P851" s="113"/>
      <c r="AC851" s="117"/>
      <c r="AD851" s="118"/>
    </row>
    <row r="852" ht="15.75" customHeight="1">
      <c r="M852" s="113"/>
      <c r="N852" s="113"/>
      <c r="O852" s="113"/>
      <c r="P852" s="113"/>
      <c r="AC852" s="117"/>
      <c r="AD852" s="118"/>
    </row>
    <row r="853" ht="15.75" customHeight="1">
      <c r="M853" s="113"/>
      <c r="N853" s="113"/>
      <c r="O853" s="113"/>
      <c r="P853" s="113"/>
      <c r="AC853" s="117"/>
      <c r="AD853" s="118"/>
    </row>
    <row r="854" ht="15.75" customHeight="1">
      <c r="M854" s="113"/>
      <c r="N854" s="113"/>
      <c r="O854" s="113"/>
      <c r="P854" s="113"/>
      <c r="AC854" s="117"/>
      <c r="AD854" s="118"/>
    </row>
    <row r="855" ht="15.75" customHeight="1">
      <c r="M855" s="113"/>
      <c r="N855" s="113"/>
      <c r="O855" s="113"/>
      <c r="P855" s="113"/>
      <c r="AC855" s="117"/>
      <c r="AD855" s="118"/>
    </row>
    <row r="856" ht="15.75" customHeight="1">
      <c r="M856" s="113"/>
      <c r="N856" s="113"/>
      <c r="O856" s="113"/>
      <c r="P856" s="113"/>
      <c r="AC856" s="117"/>
      <c r="AD856" s="118"/>
    </row>
    <row r="857" ht="15.75" customHeight="1">
      <c r="M857" s="113"/>
      <c r="N857" s="113"/>
      <c r="O857" s="113"/>
      <c r="P857" s="113"/>
      <c r="AC857" s="117"/>
      <c r="AD857" s="118"/>
    </row>
    <row r="858" ht="15.75" customHeight="1">
      <c r="M858" s="113"/>
      <c r="N858" s="113"/>
      <c r="O858" s="113"/>
      <c r="P858" s="113"/>
      <c r="AC858" s="117"/>
      <c r="AD858" s="118"/>
    </row>
    <row r="859" ht="15.75" customHeight="1">
      <c r="M859" s="113"/>
      <c r="N859" s="113"/>
      <c r="O859" s="113"/>
      <c r="P859" s="113"/>
      <c r="AC859" s="117"/>
      <c r="AD859" s="118"/>
    </row>
    <row r="860" ht="15.75" customHeight="1">
      <c r="M860" s="113"/>
      <c r="N860" s="113"/>
      <c r="O860" s="113"/>
      <c r="P860" s="113"/>
      <c r="AC860" s="117"/>
      <c r="AD860" s="118"/>
    </row>
    <row r="861" ht="15.75" customHeight="1">
      <c r="M861" s="113"/>
      <c r="N861" s="113"/>
      <c r="O861" s="113"/>
      <c r="P861" s="113"/>
      <c r="AC861" s="117"/>
      <c r="AD861" s="118"/>
    </row>
    <row r="862" ht="15.75" customHeight="1">
      <c r="M862" s="113"/>
      <c r="N862" s="113"/>
      <c r="O862" s="113"/>
      <c r="P862" s="113"/>
      <c r="AC862" s="117"/>
      <c r="AD862" s="118"/>
    </row>
    <row r="863" ht="15.75" customHeight="1">
      <c r="M863" s="113"/>
      <c r="N863" s="113"/>
      <c r="O863" s="113"/>
      <c r="P863" s="113"/>
      <c r="AC863" s="117"/>
      <c r="AD863" s="118"/>
    </row>
    <row r="864" ht="15.75" customHeight="1">
      <c r="M864" s="113"/>
      <c r="N864" s="113"/>
      <c r="O864" s="113"/>
      <c r="P864" s="113"/>
      <c r="AC864" s="117"/>
      <c r="AD864" s="118"/>
    </row>
    <row r="865" ht="15.75" customHeight="1">
      <c r="M865" s="113"/>
      <c r="N865" s="113"/>
      <c r="O865" s="113"/>
      <c r="P865" s="113"/>
      <c r="AC865" s="117"/>
      <c r="AD865" s="118"/>
    </row>
    <row r="866" ht="15.75" customHeight="1">
      <c r="M866" s="113"/>
      <c r="N866" s="113"/>
      <c r="O866" s="113"/>
      <c r="P866" s="113"/>
      <c r="AC866" s="117"/>
      <c r="AD866" s="118"/>
    </row>
    <row r="867" ht="15.75" customHeight="1">
      <c r="M867" s="113"/>
      <c r="N867" s="113"/>
      <c r="O867" s="113"/>
      <c r="P867" s="113"/>
      <c r="AC867" s="117"/>
      <c r="AD867" s="118"/>
    </row>
    <row r="868" ht="15.75" customHeight="1">
      <c r="M868" s="113"/>
      <c r="N868" s="113"/>
      <c r="O868" s="113"/>
      <c r="P868" s="113"/>
      <c r="AC868" s="117"/>
      <c r="AD868" s="118"/>
    </row>
    <row r="869" ht="15.75" customHeight="1">
      <c r="M869" s="113"/>
      <c r="N869" s="113"/>
      <c r="O869" s="113"/>
      <c r="P869" s="113"/>
      <c r="AC869" s="117"/>
      <c r="AD869" s="118"/>
    </row>
    <row r="870" ht="15.75" customHeight="1">
      <c r="M870" s="113"/>
      <c r="N870" s="113"/>
      <c r="O870" s="113"/>
      <c r="P870" s="113"/>
      <c r="AC870" s="117"/>
      <c r="AD870" s="118"/>
    </row>
    <row r="871" ht="15.75" customHeight="1">
      <c r="M871" s="113"/>
      <c r="N871" s="113"/>
      <c r="O871" s="113"/>
      <c r="P871" s="113"/>
      <c r="AC871" s="117"/>
      <c r="AD871" s="118"/>
    </row>
    <row r="872" ht="15.75" customHeight="1">
      <c r="M872" s="113"/>
      <c r="N872" s="113"/>
      <c r="O872" s="113"/>
      <c r="P872" s="113"/>
      <c r="AC872" s="117"/>
      <c r="AD872" s="118"/>
    </row>
    <row r="873" ht="15.75" customHeight="1">
      <c r="M873" s="113"/>
      <c r="N873" s="113"/>
      <c r="O873" s="113"/>
      <c r="P873" s="113"/>
      <c r="AC873" s="117"/>
      <c r="AD873" s="118"/>
    </row>
    <row r="874" ht="15.75" customHeight="1">
      <c r="M874" s="113"/>
      <c r="N874" s="113"/>
      <c r="O874" s="113"/>
      <c r="P874" s="113"/>
      <c r="AC874" s="117"/>
      <c r="AD874" s="118"/>
    </row>
    <row r="875" ht="15.75" customHeight="1">
      <c r="M875" s="113"/>
      <c r="N875" s="113"/>
      <c r="O875" s="113"/>
      <c r="P875" s="113"/>
      <c r="AC875" s="117"/>
      <c r="AD875" s="118"/>
    </row>
    <row r="876" ht="15.75" customHeight="1">
      <c r="M876" s="113"/>
      <c r="N876" s="113"/>
      <c r="O876" s="113"/>
      <c r="P876" s="113"/>
      <c r="AC876" s="117"/>
      <c r="AD876" s="118"/>
    </row>
    <row r="877" ht="15.75" customHeight="1">
      <c r="M877" s="113"/>
      <c r="N877" s="113"/>
      <c r="O877" s="113"/>
      <c r="P877" s="113"/>
      <c r="AC877" s="117"/>
      <c r="AD877" s="118"/>
    </row>
    <row r="878" ht="15.75" customHeight="1">
      <c r="M878" s="113"/>
      <c r="N878" s="113"/>
      <c r="O878" s="113"/>
      <c r="P878" s="113"/>
      <c r="AC878" s="117"/>
      <c r="AD878" s="118"/>
    </row>
    <row r="879" ht="15.75" customHeight="1">
      <c r="M879" s="113"/>
      <c r="N879" s="113"/>
      <c r="O879" s="113"/>
      <c r="P879" s="113"/>
      <c r="AC879" s="117"/>
      <c r="AD879" s="118"/>
    </row>
    <row r="880" ht="15.75" customHeight="1">
      <c r="M880" s="113"/>
      <c r="N880" s="113"/>
      <c r="O880" s="113"/>
      <c r="P880" s="113"/>
      <c r="AC880" s="117"/>
      <c r="AD880" s="118"/>
    </row>
    <row r="881" ht="15.75" customHeight="1">
      <c r="M881" s="113"/>
      <c r="N881" s="113"/>
      <c r="O881" s="113"/>
      <c r="P881" s="113"/>
      <c r="AC881" s="117"/>
      <c r="AD881" s="118"/>
    </row>
    <row r="882" ht="15.75" customHeight="1">
      <c r="M882" s="113"/>
      <c r="N882" s="113"/>
      <c r="O882" s="113"/>
      <c r="P882" s="113"/>
      <c r="AC882" s="117"/>
      <c r="AD882" s="118"/>
    </row>
    <row r="883" ht="15.75" customHeight="1">
      <c r="M883" s="113"/>
      <c r="N883" s="113"/>
      <c r="O883" s="113"/>
      <c r="P883" s="113"/>
      <c r="AC883" s="117"/>
      <c r="AD883" s="118"/>
    </row>
    <row r="884" ht="15.75" customHeight="1">
      <c r="M884" s="113"/>
      <c r="N884" s="113"/>
      <c r="O884" s="113"/>
      <c r="P884" s="113"/>
      <c r="AC884" s="117"/>
      <c r="AD884" s="118"/>
    </row>
    <row r="885" ht="15.75" customHeight="1">
      <c r="M885" s="113"/>
      <c r="N885" s="113"/>
      <c r="O885" s="113"/>
      <c r="P885" s="113"/>
      <c r="AC885" s="117"/>
      <c r="AD885" s="118"/>
    </row>
    <row r="886" ht="15.75" customHeight="1">
      <c r="M886" s="113"/>
      <c r="N886" s="113"/>
      <c r="O886" s="113"/>
      <c r="P886" s="113"/>
      <c r="AC886" s="117"/>
      <c r="AD886" s="118"/>
    </row>
    <row r="887" ht="15.75" customHeight="1">
      <c r="M887" s="113"/>
      <c r="N887" s="113"/>
      <c r="O887" s="113"/>
      <c r="P887" s="113"/>
      <c r="AC887" s="117"/>
      <c r="AD887" s="118"/>
    </row>
    <row r="888" ht="15.75" customHeight="1">
      <c r="M888" s="113"/>
      <c r="N888" s="113"/>
      <c r="O888" s="113"/>
      <c r="P888" s="113"/>
      <c r="AC888" s="117"/>
      <c r="AD888" s="118"/>
    </row>
    <row r="889" ht="15.75" customHeight="1">
      <c r="M889" s="113"/>
      <c r="N889" s="113"/>
      <c r="O889" s="113"/>
      <c r="P889" s="113"/>
      <c r="AC889" s="117"/>
      <c r="AD889" s="118"/>
    </row>
    <row r="890" ht="15.75" customHeight="1">
      <c r="M890" s="113"/>
      <c r="N890" s="113"/>
      <c r="O890" s="113"/>
      <c r="P890" s="113"/>
      <c r="AC890" s="117"/>
      <c r="AD890" s="118"/>
    </row>
    <row r="891" ht="15.75" customHeight="1">
      <c r="M891" s="113"/>
      <c r="N891" s="113"/>
      <c r="O891" s="113"/>
      <c r="P891" s="113"/>
      <c r="AC891" s="117"/>
      <c r="AD891" s="118"/>
    </row>
    <row r="892" ht="15.75" customHeight="1">
      <c r="M892" s="113"/>
      <c r="N892" s="113"/>
      <c r="O892" s="113"/>
      <c r="P892" s="113"/>
      <c r="AC892" s="117"/>
      <c r="AD892" s="118"/>
    </row>
    <row r="893" ht="15.75" customHeight="1">
      <c r="M893" s="113"/>
      <c r="N893" s="113"/>
      <c r="O893" s="113"/>
      <c r="P893" s="113"/>
      <c r="AC893" s="117"/>
      <c r="AD893" s="118"/>
    </row>
    <row r="894" ht="15.75" customHeight="1">
      <c r="M894" s="113"/>
      <c r="N894" s="113"/>
      <c r="O894" s="113"/>
      <c r="P894" s="113"/>
      <c r="AC894" s="117"/>
      <c r="AD894" s="118"/>
    </row>
    <row r="895" ht="15.75" customHeight="1">
      <c r="M895" s="113"/>
      <c r="N895" s="113"/>
      <c r="O895" s="113"/>
      <c r="P895" s="113"/>
      <c r="AC895" s="117"/>
      <c r="AD895" s="118"/>
    </row>
    <row r="896" ht="15.75" customHeight="1">
      <c r="M896" s="113"/>
      <c r="N896" s="113"/>
      <c r="O896" s="113"/>
      <c r="P896" s="113"/>
      <c r="AC896" s="117"/>
      <c r="AD896" s="118"/>
    </row>
    <row r="897" ht="15.75" customHeight="1">
      <c r="M897" s="113"/>
      <c r="N897" s="113"/>
      <c r="O897" s="113"/>
      <c r="P897" s="113"/>
      <c r="AC897" s="117"/>
      <c r="AD897" s="118"/>
    </row>
    <row r="898" ht="15.75" customHeight="1">
      <c r="M898" s="113"/>
      <c r="N898" s="113"/>
      <c r="O898" s="113"/>
      <c r="P898" s="113"/>
      <c r="AC898" s="117"/>
      <c r="AD898" s="118"/>
    </row>
    <row r="899" ht="15.75" customHeight="1">
      <c r="M899" s="113"/>
      <c r="N899" s="113"/>
      <c r="O899" s="113"/>
      <c r="P899" s="113"/>
      <c r="AC899" s="117"/>
      <c r="AD899" s="118"/>
    </row>
    <row r="900" ht="15.75" customHeight="1">
      <c r="M900" s="113"/>
      <c r="N900" s="113"/>
      <c r="O900" s="113"/>
      <c r="P900" s="113"/>
      <c r="AC900" s="117"/>
      <c r="AD900" s="118"/>
    </row>
    <row r="901" ht="15.75" customHeight="1">
      <c r="M901" s="113"/>
      <c r="N901" s="113"/>
      <c r="O901" s="113"/>
      <c r="P901" s="113"/>
      <c r="AC901" s="117"/>
      <c r="AD901" s="118"/>
    </row>
    <row r="902" ht="15.75" customHeight="1">
      <c r="M902" s="113"/>
      <c r="N902" s="113"/>
      <c r="O902" s="113"/>
      <c r="P902" s="113"/>
      <c r="AC902" s="117"/>
      <c r="AD902" s="118"/>
    </row>
    <row r="903" ht="15.75" customHeight="1">
      <c r="M903" s="113"/>
      <c r="N903" s="113"/>
      <c r="O903" s="113"/>
      <c r="P903" s="113"/>
      <c r="AC903" s="117"/>
      <c r="AD903" s="118"/>
    </row>
    <row r="904" ht="15.75" customHeight="1">
      <c r="M904" s="113"/>
      <c r="N904" s="113"/>
      <c r="O904" s="113"/>
      <c r="P904" s="113"/>
      <c r="AC904" s="117"/>
      <c r="AD904" s="118"/>
    </row>
    <row r="905" ht="15.75" customHeight="1">
      <c r="M905" s="113"/>
      <c r="N905" s="113"/>
      <c r="O905" s="113"/>
      <c r="P905" s="113"/>
      <c r="AC905" s="117"/>
      <c r="AD905" s="118"/>
    </row>
    <row r="906" ht="15.75" customHeight="1">
      <c r="M906" s="113"/>
      <c r="N906" s="113"/>
      <c r="O906" s="113"/>
      <c r="P906" s="113"/>
      <c r="AC906" s="117"/>
      <c r="AD906" s="118"/>
    </row>
    <row r="907" ht="15.75" customHeight="1">
      <c r="M907" s="113"/>
      <c r="N907" s="113"/>
      <c r="O907" s="113"/>
      <c r="P907" s="113"/>
      <c r="AC907" s="117"/>
      <c r="AD907" s="118"/>
    </row>
    <row r="908" ht="15.75" customHeight="1">
      <c r="M908" s="113"/>
      <c r="N908" s="113"/>
      <c r="O908" s="113"/>
      <c r="P908" s="113"/>
      <c r="AC908" s="117"/>
      <c r="AD908" s="118"/>
    </row>
    <row r="909" ht="15.75" customHeight="1">
      <c r="M909" s="113"/>
      <c r="N909" s="113"/>
      <c r="O909" s="113"/>
      <c r="P909" s="113"/>
      <c r="AC909" s="117"/>
      <c r="AD909" s="118"/>
    </row>
    <row r="910" ht="15.75" customHeight="1">
      <c r="M910" s="113"/>
      <c r="N910" s="113"/>
      <c r="O910" s="113"/>
      <c r="P910" s="113"/>
      <c r="AC910" s="117"/>
      <c r="AD910" s="118"/>
    </row>
    <row r="911" ht="15.75" customHeight="1">
      <c r="M911" s="113"/>
      <c r="N911" s="113"/>
      <c r="O911" s="113"/>
      <c r="P911" s="113"/>
      <c r="AC911" s="117"/>
      <c r="AD911" s="118"/>
    </row>
    <row r="912" ht="15.75" customHeight="1">
      <c r="M912" s="113"/>
      <c r="N912" s="113"/>
      <c r="O912" s="113"/>
      <c r="P912" s="113"/>
      <c r="AC912" s="117"/>
      <c r="AD912" s="118"/>
    </row>
    <row r="913" ht="15.75" customHeight="1">
      <c r="M913" s="113"/>
      <c r="N913" s="113"/>
      <c r="O913" s="113"/>
      <c r="P913" s="113"/>
      <c r="AC913" s="117"/>
      <c r="AD913" s="118"/>
    </row>
    <row r="914" ht="15.75" customHeight="1">
      <c r="M914" s="113"/>
      <c r="N914" s="113"/>
      <c r="O914" s="113"/>
      <c r="P914" s="113"/>
      <c r="AC914" s="117"/>
      <c r="AD914" s="118"/>
    </row>
    <row r="915" ht="15.75" customHeight="1">
      <c r="M915" s="113"/>
      <c r="N915" s="113"/>
      <c r="O915" s="113"/>
      <c r="P915" s="113"/>
      <c r="AC915" s="117"/>
      <c r="AD915" s="118"/>
    </row>
    <row r="916" ht="15.75" customHeight="1">
      <c r="M916" s="113"/>
      <c r="N916" s="113"/>
      <c r="O916" s="113"/>
      <c r="P916" s="113"/>
      <c r="AC916" s="117"/>
      <c r="AD916" s="118"/>
    </row>
    <row r="917" ht="15.75" customHeight="1">
      <c r="M917" s="113"/>
      <c r="N917" s="113"/>
      <c r="O917" s="113"/>
      <c r="P917" s="113"/>
      <c r="AC917" s="117"/>
      <c r="AD917" s="118"/>
    </row>
    <row r="918" ht="15.75" customHeight="1">
      <c r="M918" s="113"/>
      <c r="N918" s="113"/>
      <c r="O918" s="113"/>
      <c r="P918" s="113"/>
      <c r="AC918" s="117"/>
      <c r="AD918" s="118"/>
    </row>
    <row r="919" ht="15.75" customHeight="1">
      <c r="M919" s="113"/>
      <c r="N919" s="113"/>
      <c r="O919" s="113"/>
      <c r="P919" s="113"/>
      <c r="AC919" s="117"/>
      <c r="AD919" s="118"/>
    </row>
    <row r="920" ht="15.75" customHeight="1">
      <c r="M920" s="113"/>
      <c r="N920" s="113"/>
      <c r="O920" s="113"/>
      <c r="P920" s="113"/>
      <c r="AC920" s="117"/>
      <c r="AD920" s="118"/>
    </row>
    <row r="921" ht="15.75" customHeight="1">
      <c r="M921" s="113"/>
      <c r="N921" s="113"/>
      <c r="O921" s="113"/>
      <c r="P921" s="113"/>
      <c r="AC921" s="117"/>
      <c r="AD921" s="118"/>
    </row>
    <row r="922" ht="15.75" customHeight="1">
      <c r="M922" s="113"/>
      <c r="N922" s="113"/>
      <c r="O922" s="113"/>
      <c r="P922" s="113"/>
      <c r="AC922" s="117"/>
      <c r="AD922" s="118"/>
    </row>
    <row r="923" ht="15.75" customHeight="1">
      <c r="M923" s="113"/>
      <c r="N923" s="113"/>
      <c r="O923" s="113"/>
      <c r="P923" s="113"/>
      <c r="AC923" s="117"/>
      <c r="AD923" s="118"/>
    </row>
    <row r="924" ht="15.75" customHeight="1">
      <c r="M924" s="113"/>
      <c r="N924" s="113"/>
      <c r="O924" s="113"/>
      <c r="P924" s="113"/>
      <c r="AC924" s="117"/>
      <c r="AD924" s="118"/>
    </row>
    <row r="925" ht="15.75" customHeight="1">
      <c r="M925" s="113"/>
      <c r="N925" s="113"/>
      <c r="O925" s="113"/>
      <c r="P925" s="113"/>
      <c r="AC925" s="117"/>
      <c r="AD925" s="118"/>
    </row>
    <row r="926" ht="15.75" customHeight="1">
      <c r="M926" s="113"/>
      <c r="N926" s="113"/>
      <c r="O926" s="113"/>
      <c r="P926" s="113"/>
      <c r="AC926" s="117"/>
      <c r="AD926" s="118"/>
    </row>
    <row r="927" ht="15.75" customHeight="1">
      <c r="M927" s="113"/>
      <c r="N927" s="113"/>
      <c r="O927" s="113"/>
      <c r="P927" s="113"/>
      <c r="AC927" s="117"/>
      <c r="AD927" s="118"/>
    </row>
    <row r="928" ht="15.75" customHeight="1">
      <c r="M928" s="113"/>
      <c r="N928" s="113"/>
      <c r="O928" s="113"/>
      <c r="P928" s="113"/>
      <c r="AC928" s="117"/>
      <c r="AD928" s="118"/>
    </row>
    <row r="929" ht="15.75" customHeight="1">
      <c r="M929" s="113"/>
      <c r="N929" s="113"/>
      <c r="O929" s="113"/>
      <c r="P929" s="113"/>
      <c r="AC929" s="117"/>
      <c r="AD929" s="118"/>
    </row>
    <row r="930" ht="15.75" customHeight="1">
      <c r="M930" s="113"/>
      <c r="N930" s="113"/>
      <c r="O930" s="113"/>
      <c r="P930" s="113"/>
      <c r="AC930" s="117"/>
      <c r="AD930" s="118"/>
    </row>
    <row r="931" ht="15.75" customHeight="1">
      <c r="M931" s="113"/>
      <c r="N931" s="113"/>
      <c r="O931" s="113"/>
      <c r="P931" s="113"/>
      <c r="AC931" s="117"/>
      <c r="AD931" s="118"/>
    </row>
    <row r="932" ht="15.75" customHeight="1">
      <c r="M932" s="113"/>
      <c r="N932" s="113"/>
      <c r="O932" s="113"/>
      <c r="P932" s="113"/>
      <c r="AC932" s="117"/>
      <c r="AD932" s="118"/>
    </row>
    <row r="933" ht="15.75" customHeight="1">
      <c r="M933" s="113"/>
      <c r="N933" s="113"/>
      <c r="O933" s="113"/>
      <c r="P933" s="113"/>
      <c r="AC933" s="117"/>
      <c r="AD933" s="118"/>
    </row>
    <row r="934" ht="15.75" customHeight="1">
      <c r="M934" s="113"/>
      <c r="N934" s="113"/>
      <c r="O934" s="113"/>
      <c r="P934" s="113"/>
      <c r="AC934" s="117"/>
      <c r="AD934" s="118"/>
    </row>
    <row r="935" ht="15.75" customHeight="1">
      <c r="M935" s="113"/>
      <c r="N935" s="113"/>
      <c r="O935" s="113"/>
      <c r="P935" s="113"/>
      <c r="AC935" s="117"/>
      <c r="AD935" s="118"/>
    </row>
    <row r="936" ht="15.75" customHeight="1">
      <c r="M936" s="113"/>
      <c r="N936" s="113"/>
      <c r="O936" s="113"/>
      <c r="P936" s="113"/>
      <c r="AC936" s="117"/>
      <c r="AD936" s="118"/>
    </row>
    <row r="937" ht="15.75" customHeight="1">
      <c r="M937" s="113"/>
      <c r="N937" s="113"/>
      <c r="O937" s="113"/>
      <c r="P937" s="113"/>
      <c r="AC937" s="117"/>
      <c r="AD937" s="118"/>
    </row>
    <row r="938" ht="15.75" customHeight="1">
      <c r="M938" s="113"/>
      <c r="N938" s="113"/>
      <c r="O938" s="113"/>
      <c r="P938" s="113"/>
      <c r="AC938" s="117"/>
      <c r="AD938" s="118"/>
    </row>
    <row r="939" ht="15.75" customHeight="1">
      <c r="M939" s="113"/>
      <c r="N939" s="113"/>
      <c r="O939" s="113"/>
      <c r="P939" s="113"/>
      <c r="AC939" s="117"/>
      <c r="AD939" s="118"/>
    </row>
    <row r="940" ht="15.75" customHeight="1">
      <c r="M940" s="113"/>
      <c r="N940" s="113"/>
      <c r="O940" s="113"/>
      <c r="P940" s="113"/>
      <c r="AC940" s="117"/>
      <c r="AD940" s="118"/>
    </row>
    <row r="941" ht="15.75" customHeight="1">
      <c r="M941" s="113"/>
      <c r="N941" s="113"/>
      <c r="O941" s="113"/>
      <c r="P941" s="113"/>
      <c r="AC941" s="117"/>
      <c r="AD941" s="118"/>
    </row>
    <row r="942" ht="15.75" customHeight="1">
      <c r="M942" s="113"/>
      <c r="N942" s="113"/>
      <c r="O942" s="113"/>
      <c r="P942" s="113"/>
      <c r="AC942" s="117"/>
      <c r="AD942" s="118"/>
    </row>
    <row r="943" ht="15.75" customHeight="1">
      <c r="M943" s="113"/>
      <c r="N943" s="113"/>
      <c r="O943" s="113"/>
      <c r="P943" s="113"/>
      <c r="AC943" s="117"/>
      <c r="AD943" s="118"/>
    </row>
    <row r="944" ht="15.75" customHeight="1">
      <c r="M944" s="113"/>
      <c r="N944" s="113"/>
      <c r="O944" s="113"/>
      <c r="P944" s="113"/>
      <c r="AC944" s="117"/>
      <c r="AD944" s="118"/>
    </row>
    <row r="945" ht="15.75" customHeight="1">
      <c r="M945" s="113"/>
      <c r="N945" s="113"/>
      <c r="O945" s="113"/>
      <c r="P945" s="113"/>
      <c r="AC945" s="117"/>
      <c r="AD945" s="118"/>
    </row>
    <row r="946" ht="15.75" customHeight="1">
      <c r="M946" s="113"/>
      <c r="N946" s="113"/>
      <c r="O946" s="113"/>
      <c r="P946" s="113"/>
      <c r="AC946" s="117"/>
      <c r="AD946" s="118"/>
    </row>
    <row r="947" ht="15.75" customHeight="1">
      <c r="M947" s="113"/>
      <c r="N947" s="113"/>
      <c r="O947" s="113"/>
      <c r="P947" s="113"/>
      <c r="AC947" s="117"/>
      <c r="AD947" s="118"/>
    </row>
    <row r="948" ht="15.75" customHeight="1">
      <c r="M948" s="113"/>
      <c r="N948" s="113"/>
      <c r="O948" s="113"/>
      <c r="P948" s="113"/>
      <c r="AC948" s="117"/>
      <c r="AD948" s="118"/>
    </row>
    <row r="949" ht="15.75" customHeight="1">
      <c r="M949" s="113"/>
      <c r="N949" s="113"/>
      <c r="O949" s="113"/>
      <c r="P949" s="113"/>
      <c r="AC949" s="117"/>
      <c r="AD949" s="118"/>
    </row>
    <row r="950" ht="15.75" customHeight="1">
      <c r="M950" s="113"/>
      <c r="N950" s="113"/>
      <c r="O950" s="113"/>
      <c r="P950" s="113"/>
      <c r="AC950" s="117"/>
      <c r="AD950" s="118"/>
    </row>
    <row r="951" ht="15.75" customHeight="1">
      <c r="M951" s="113"/>
      <c r="N951" s="113"/>
      <c r="O951" s="113"/>
      <c r="P951" s="113"/>
      <c r="AC951" s="117"/>
      <c r="AD951" s="118"/>
    </row>
    <row r="952" ht="15.75" customHeight="1">
      <c r="M952" s="113"/>
      <c r="N952" s="113"/>
      <c r="O952" s="113"/>
      <c r="P952" s="113"/>
      <c r="AC952" s="117"/>
      <c r="AD952" s="118"/>
    </row>
    <row r="953" ht="15.75" customHeight="1">
      <c r="M953" s="113"/>
      <c r="N953" s="113"/>
      <c r="O953" s="113"/>
      <c r="P953" s="113"/>
      <c r="AC953" s="117"/>
      <c r="AD953" s="118"/>
    </row>
    <row r="954" ht="15.75" customHeight="1">
      <c r="M954" s="113"/>
      <c r="N954" s="113"/>
      <c r="O954" s="113"/>
      <c r="P954" s="113"/>
      <c r="AC954" s="117"/>
      <c r="AD954" s="118"/>
    </row>
    <row r="955" ht="15.75" customHeight="1">
      <c r="M955" s="113"/>
      <c r="N955" s="113"/>
      <c r="O955" s="113"/>
      <c r="P955" s="113"/>
      <c r="AC955" s="117"/>
      <c r="AD955" s="118"/>
    </row>
    <row r="956" ht="15.75" customHeight="1">
      <c r="M956" s="113"/>
      <c r="N956" s="113"/>
      <c r="O956" s="113"/>
      <c r="P956" s="113"/>
      <c r="AC956" s="117"/>
      <c r="AD956" s="118"/>
    </row>
    <row r="957" ht="15.75" customHeight="1">
      <c r="M957" s="113"/>
      <c r="N957" s="113"/>
      <c r="O957" s="113"/>
      <c r="P957" s="113"/>
      <c r="AC957" s="117"/>
      <c r="AD957" s="118"/>
    </row>
    <row r="958" ht="15.75" customHeight="1">
      <c r="M958" s="113"/>
      <c r="N958" s="113"/>
      <c r="O958" s="113"/>
      <c r="P958" s="113"/>
      <c r="AC958" s="117"/>
      <c r="AD958" s="118"/>
    </row>
    <row r="959" ht="15.75" customHeight="1">
      <c r="M959" s="113"/>
      <c r="N959" s="113"/>
      <c r="O959" s="113"/>
      <c r="P959" s="113"/>
      <c r="AC959" s="117"/>
      <c r="AD959" s="118"/>
    </row>
    <row r="960" ht="15.75" customHeight="1">
      <c r="M960" s="113"/>
      <c r="N960" s="113"/>
      <c r="O960" s="113"/>
      <c r="P960" s="113"/>
      <c r="AC960" s="117"/>
      <c r="AD960" s="118"/>
    </row>
    <row r="961" ht="15.75" customHeight="1">
      <c r="M961" s="113"/>
      <c r="N961" s="113"/>
      <c r="O961" s="113"/>
      <c r="P961" s="113"/>
      <c r="AC961" s="117"/>
      <c r="AD961" s="118"/>
    </row>
    <row r="962" ht="15.75" customHeight="1">
      <c r="M962" s="113"/>
      <c r="N962" s="113"/>
      <c r="O962" s="113"/>
      <c r="P962" s="113"/>
      <c r="AC962" s="117"/>
      <c r="AD962" s="118"/>
    </row>
    <row r="963" ht="15.75" customHeight="1">
      <c r="M963" s="113"/>
      <c r="N963" s="113"/>
      <c r="O963" s="113"/>
      <c r="P963" s="113"/>
      <c r="AC963" s="117"/>
      <c r="AD963" s="118"/>
    </row>
    <row r="964" ht="15.75" customHeight="1">
      <c r="M964" s="113"/>
      <c r="N964" s="113"/>
      <c r="O964" s="113"/>
      <c r="P964" s="113"/>
      <c r="AC964" s="117"/>
      <c r="AD964" s="118"/>
    </row>
    <row r="965" ht="15.75" customHeight="1">
      <c r="M965" s="113"/>
      <c r="N965" s="113"/>
      <c r="O965" s="113"/>
      <c r="P965" s="113"/>
      <c r="AC965" s="117"/>
      <c r="AD965" s="118"/>
    </row>
    <row r="966" ht="15.75" customHeight="1">
      <c r="M966" s="113"/>
      <c r="N966" s="113"/>
      <c r="O966" s="113"/>
      <c r="P966" s="113"/>
      <c r="AC966" s="117"/>
      <c r="AD966" s="118"/>
    </row>
    <row r="967" ht="15.75" customHeight="1">
      <c r="M967" s="113"/>
      <c r="N967" s="113"/>
      <c r="O967" s="113"/>
      <c r="P967" s="113"/>
      <c r="AC967" s="117"/>
      <c r="AD967" s="118"/>
    </row>
    <row r="968" ht="15.75" customHeight="1">
      <c r="M968" s="113"/>
      <c r="N968" s="113"/>
      <c r="O968" s="113"/>
      <c r="P968" s="113"/>
      <c r="AC968" s="117"/>
      <c r="AD968" s="118"/>
    </row>
    <row r="969" ht="15.75" customHeight="1">
      <c r="M969" s="113"/>
      <c r="N969" s="113"/>
      <c r="O969" s="113"/>
      <c r="P969" s="113"/>
      <c r="AC969" s="117"/>
      <c r="AD969" s="118"/>
    </row>
    <row r="970" ht="15.75" customHeight="1">
      <c r="M970" s="113"/>
      <c r="N970" s="113"/>
      <c r="O970" s="113"/>
      <c r="P970" s="113"/>
      <c r="AC970" s="117"/>
      <c r="AD970" s="118"/>
    </row>
    <row r="971" ht="15.75" customHeight="1">
      <c r="M971" s="113"/>
      <c r="N971" s="113"/>
      <c r="O971" s="113"/>
      <c r="P971" s="113"/>
      <c r="AC971" s="117"/>
      <c r="AD971" s="118"/>
    </row>
    <row r="972" ht="15.75" customHeight="1">
      <c r="M972" s="113"/>
      <c r="N972" s="113"/>
      <c r="O972" s="113"/>
      <c r="P972" s="113"/>
      <c r="AC972" s="117"/>
      <c r="AD972" s="118"/>
    </row>
    <row r="973" ht="15.75" customHeight="1">
      <c r="M973" s="113"/>
      <c r="N973" s="113"/>
      <c r="O973" s="113"/>
      <c r="P973" s="113"/>
      <c r="AC973" s="117"/>
      <c r="AD973" s="118"/>
    </row>
    <row r="974" ht="15.75" customHeight="1">
      <c r="M974" s="113"/>
      <c r="N974" s="113"/>
      <c r="O974" s="113"/>
      <c r="P974" s="113"/>
      <c r="AC974" s="117"/>
      <c r="AD974" s="118"/>
    </row>
    <row r="975" ht="15.75" customHeight="1">
      <c r="M975" s="113"/>
      <c r="N975" s="113"/>
      <c r="O975" s="113"/>
      <c r="P975" s="113"/>
      <c r="AC975" s="117"/>
      <c r="AD975" s="118"/>
    </row>
    <row r="976" ht="15.75" customHeight="1">
      <c r="M976" s="113"/>
      <c r="N976" s="113"/>
      <c r="O976" s="113"/>
      <c r="P976" s="113"/>
      <c r="AC976" s="117"/>
      <c r="AD976" s="118"/>
    </row>
    <row r="977" ht="15.75" customHeight="1">
      <c r="M977" s="113"/>
      <c r="N977" s="113"/>
      <c r="O977" s="113"/>
      <c r="P977" s="113"/>
      <c r="AC977" s="117"/>
      <c r="AD977" s="118"/>
    </row>
    <row r="978" ht="15.75" customHeight="1">
      <c r="M978" s="113"/>
      <c r="N978" s="113"/>
      <c r="O978" s="113"/>
      <c r="P978" s="113"/>
      <c r="AC978" s="117"/>
      <c r="AD978" s="118"/>
    </row>
    <row r="979" ht="15.75" customHeight="1">
      <c r="M979" s="113"/>
      <c r="N979" s="113"/>
      <c r="O979" s="113"/>
      <c r="P979" s="113"/>
      <c r="AC979" s="117"/>
      <c r="AD979" s="118"/>
    </row>
    <row r="980" ht="15.75" customHeight="1">
      <c r="M980" s="113"/>
      <c r="N980" s="113"/>
      <c r="O980" s="113"/>
      <c r="P980" s="113"/>
      <c r="AC980" s="117"/>
      <c r="AD980" s="118"/>
    </row>
    <row r="981" ht="15.75" customHeight="1">
      <c r="M981" s="113"/>
      <c r="N981" s="113"/>
      <c r="O981" s="113"/>
      <c r="P981" s="113"/>
      <c r="AC981" s="117"/>
      <c r="AD981" s="118"/>
    </row>
    <row r="982" ht="15.75" customHeight="1">
      <c r="M982" s="113"/>
      <c r="N982" s="113"/>
      <c r="O982" s="113"/>
      <c r="P982" s="113"/>
      <c r="AC982" s="117"/>
      <c r="AD982" s="118"/>
    </row>
    <row r="983" ht="15.75" customHeight="1">
      <c r="M983" s="113"/>
      <c r="N983" s="113"/>
      <c r="O983" s="113"/>
      <c r="P983" s="113"/>
      <c r="AC983" s="117"/>
      <c r="AD983" s="118"/>
    </row>
    <row r="984" ht="15.75" customHeight="1">
      <c r="M984" s="113"/>
      <c r="N984" s="113"/>
      <c r="O984" s="113"/>
      <c r="P984" s="113"/>
      <c r="AC984" s="117"/>
      <c r="AD984" s="118"/>
    </row>
    <row r="985" ht="15.75" customHeight="1">
      <c r="M985" s="113"/>
      <c r="N985" s="113"/>
      <c r="O985" s="113"/>
      <c r="P985" s="113"/>
      <c r="AC985" s="117"/>
      <c r="AD985" s="118"/>
    </row>
    <row r="986" ht="15.75" customHeight="1">
      <c r="M986" s="113"/>
      <c r="N986" s="113"/>
      <c r="O986" s="113"/>
      <c r="P986" s="113"/>
      <c r="AC986" s="117"/>
      <c r="AD986" s="118"/>
    </row>
    <row r="987" ht="15.75" customHeight="1">
      <c r="M987" s="113"/>
      <c r="N987" s="113"/>
      <c r="O987" s="113"/>
      <c r="P987" s="113"/>
      <c r="AC987" s="117"/>
      <c r="AD987" s="118"/>
    </row>
    <row r="988" ht="15.75" customHeight="1">
      <c r="M988" s="113"/>
      <c r="N988" s="113"/>
      <c r="O988" s="113"/>
      <c r="P988" s="113"/>
      <c r="AC988" s="117"/>
      <c r="AD988" s="118"/>
    </row>
    <row r="989" ht="15.75" customHeight="1">
      <c r="M989" s="113"/>
      <c r="N989" s="113"/>
      <c r="O989" s="113"/>
      <c r="P989" s="113"/>
      <c r="AC989" s="117"/>
      <c r="AD989" s="118"/>
    </row>
    <row r="990" ht="15.75" customHeight="1">
      <c r="M990" s="113"/>
      <c r="N990" s="113"/>
      <c r="O990" s="113"/>
      <c r="P990" s="113"/>
      <c r="AC990" s="117"/>
      <c r="AD990" s="118"/>
    </row>
    <row r="991" ht="15.75" customHeight="1">
      <c r="M991" s="113"/>
      <c r="N991" s="113"/>
      <c r="O991" s="113"/>
      <c r="P991" s="113"/>
      <c r="AC991" s="117"/>
      <c r="AD991" s="118"/>
    </row>
    <row r="992" ht="15.75" customHeight="1">
      <c r="M992" s="113"/>
      <c r="N992" s="113"/>
      <c r="O992" s="113"/>
      <c r="P992" s="113"/>
      <c r="AC992" s="117"/>
      <c r="AD992" s="118"/>
    </row>
    <row r="993" ht="15.75" customHeight="1">
      <c r="M993" s="113"/>
      <c r="N993" s="113"/>
      <c r="O993" s="113"/>
      <c r="P993" s="113"/>
      <c r="AC993" s="117"/>
      <c r="AD993" s="118"/>
    </row>
    <row r="994" ht="15.75" customHeight="1">
      <c r="M994" s="113"/>
      <c r="N994" s="113"/>
      <c r="O994" s="113"/>
      <c r="P994" s="113"/>
      <c r="AC994" s="117"/>
      <c r="AD994" s="118"/>
    </row>
    <row r="995" ht="15.75" customHeight="1">
      <c r="M995" s="113"/>
      <c r="N995" s="113"/>
      <c r="O995" s="113"/>
      <c r="P995" s="113"/>
      <c r="AC995" s="117"/>
      <c r="AD995" s="118"/>
    </row>
    <row r="996" ht="15.75" customHeight="1">
      <c r="M996" s="113"/>
      <c r="N996" s="113"/>
      <c r="O996" s="113"/>
      <c r="P996" s="113"/>
      <c r="AC996" s="117"/>
      <c r="AD996" s="118"/>
    </row>
    <row r="997" ht="15.75" customHeight="1">
      <c r="M997" s="113"/>
      <c r="N997" s="113"/>
      <c r="O997" s="113"/>
      <c r="P997" s="113"/>
      <c r="AC997" s="117"/>
      <c r="AD997" s="118"/>
    </row>
    <row r="998" ht="15.75" customHeight="1">
      <c r="M998" s="113"/>
      <c r="N998" s="113"/>
      <c r="O998" s="113"/>
      <c r="P998" s="113"/>
      <c r="AC998" s="117"/>
      <c r="AD998" s="123"/>
    </row>
  </sheetData>
  <mergeCells count="2">
    <mergeCell ref="F2:L2"/>
    <mergeCell ref="X2:AE2"/>
  </mergeCells>
  <conditionalFormatting sqref="F9:L10 M9:P9">
    <cfRule type="expression" dxfId="6" priority="1">
      <formula>"VLOOKUP(טבלת_שדות[קבוצת שדות],Table1[#ALL],2)"</formula>
    </cfRule>
  </conditionalFormatting>
  <dataValidations>
    <dataValidation type="list" allowBlank="1" showErrorMessage="1" sqref="I1 AA1">
      <formula1>'אינדקס'!$B$13:$B$225</formula1>
    </dataValidation>
    <dataValidation type="list" allowBlank="1" sqref="O10:P998">
      <formula1>'רשימות'!$G$2:$G$12</formula1>
    </dataValidation>
    <dataValidation type="list" allowBlank="1" sqref="X10:X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E10:AF100 Y10:Y100 AA10:AA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W1"/>
    <hyperlink display="מעבר לדף הבית" location="'אינדקס'!A1" ref="Y1"/>
  </hyperlinks>
  <printOptions/>
  <pageMargins bottom="1.0" footer="0.0" header="0.0" left="0.75" right="0.75" top="1.0"/>
  <pageSetup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21" width="25.14"/>
    <col customWidth="1" min="22" max="22" width="5.0"/>
    <col customWidth="1" min="23" max="23" width="22.0"/>
    <col customWidth="1" min="24" max="24" width="18.43"/>
    <col customWidth="1" min="25" max="25" width="20.0"/>
    <col customWidth="1" min="26" max="26" width="24.0"/>
    <col customWidth="1" min="27" max="27" width="21.14"/>
    <col customWidth="1" min="28" max="28" width="18.0"/>
    <col customWidth="1" min="29" max="30" width="16.0"/>
    <col customWidth="1" min="31" max="31" width="20.0"/>
    <col customWidth="1" min="32" max="32" width="22.0"/>
    <col customWidth="1" min="33" max="33" width="44.57"/>
    <col customWidth="1" min="34" max="34" width="51.43"/>
    <col customWidth="1" min="35" max="35" width="22.0"/>
    <col customWidth="1" min="36" max="39" width="8.71"/>
  </cols>
  <sheetData>
    <row r="1" ht="39.75" customHeight="1">
      <c r="E1" s="2"/>
      <c r="F1" s="3"/>
      <c r="G1" s="6" t="s">
        <v>0</v>
      </c>
      <c r="H1" s="8" t="s">
        <v>1</v>
      </c>
      <c r="I1" s="10" t="s">
        <v>6</v>
      </c>
      <c r="J1" s="12" t="str">
        <f>VLOOKUP(I1,'אינדקס'!B13:C91,2,0)</f>
        <v>פתח גיליון</v>
      </c>
      <c r="K1" s="13"/>
      <c r="L1" s="16" t="s">
        <v>7</v>
      </c>
      <c r="M1" s="17"/>
      <c r="N1" s="17"/>
      <c r="O1" s="17"/>
      <c r="P1" s="17"/>
      <c r="Q1" s="18"/>
      <c r="R1" s="18"/>
      <c r="S1" s="18"/>
      <c r="T1" s="18"/>
      <c r="U1" s="18"/>
      <c r="V1" s="18"/>
      <c r="W1" s="16" t="s">
        <v>8</v>
      </c>
      <c r="X1" s="3"/>
      <c r="Y1" s="6" t="s">
        <v>0</v>
      </c>
      <c r="Z1" s="8" t="s">
        <v>1</v>
      </c>
      <c r="AA1" s="11" t="s">
        <v>9</v>
      </c>
      <c r="AB1" s="20" t="str">
        <f>VLOOKUP(AA1,'אינדקס'!B13:C91,2)</f>
        <v>פתח גיליון</v>
      </c>
      <c r="AC1" s="21"/>
      <c r="AD1" s="23"/>
      <c r="AE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17"/>
      <c r="P2" s="17"/>
      <c r="Q2" s="30"/>
      <c r="R2" s="18"/>
      <c r="S2" s="18"/>
      <c r="T2" s="18"/>
      <c r="U2" s="18"/>
      <c r="V2" s="18"/>
      <c r="W2" s="31"/>
      <c r="X2" s="27" t="str">
        <f>CONCATENATE("🎯 מטרות-העל: ", 'אינדקס'!$B$5)</f>
        <v>🎯 מטרות-העל: https://docs.google.com/open?id=16lBROr6DmzGS3AaRedcxxBk5nYQMegngfhrp90Jz1JQ</v>
      </c>
      <c r="Y2" s="28"/>
      <c r="Z2" s="28"/>
      <c r="AA2" s="28"/>
      <c r="AB2" s="28"/>
      <c r="AC2" s="28"/>
      <c r="AD2" s="28"/>
      <c r="AE2" s="29"/>
    </row>
    <row r="3">
      <c r="E3" s="105" t="s">
        <v>83</v>
      </c>
      <c r="F3" s="35"/>
      <c r="G3" s="35"/>
      <c r="H3" s="35"/>
      <c r="I3" s="35"/>
      <c r="J3" s="35"/>
      <c r="K3" s="35"/>
      <c r="L3" s="37"/>
      <c r="W3" s="33"/>
      <c r="X3" s="35"/>
      <c r="Y3" s="35"/>
      <c r="Z3" s="35"/>
      <c r="AA3" s="35"/>
      <c r="AB3" s="39"/>
      <c r="AC3" s="40"/>
      <c r="AD3" s="40"/>
      <c r="AE3" s="42"/>
    </row>
    <row r="4">
      <c r="E4" s="43"/>
      <c r="F4" s="47" t="str">
        <f t="shared" ref="F4:F7" si="1">IF(G4="","",ROW()-6)</f>
        <v/>
      </c>
      <c r="G4" s="47"/>
      <c r="H4" s="47"/>
      <c r="I4" s="47"/>
      <c r="J4" s="47"/>
      <c r="K4" s="47"/>
      <c r="L4" s="49"/>
      <c r="V4" s="52" t="str">
        <f t="shared" ref="V4:V7" si="2">IF(W4="","",ROW()-6)</f>
        <v/>
      </c>
      <c r="W4" s="43"/>
      <c r="X4" s="47" t="str">
        <f t="shared" ref="X4:X7" si="3">IF(Y4="","",ROW()-6)</f>
        <v/>
      </c>
      <c r="Y4" s="47"/>
      <c r="Z4" s="47"/>
      <c r="AA4" s="47"/>
      <c r="AB4" s="55"/>
      <c r="AC4" s="56"/>
      <c r="AD4" s="56"/>
      <c r="AE4" s="57"/>
    </row>
    <row r="5">
      <c r="E5" s="43"/>
      <c r="F5" s="47" t="str">
        <f t="shared" si="1"/>
        <v/>
      </c>
      <c r="G5" s="47"/>
      <c r="H5" s="47"/>
      <c r="I5" s="47"/>
      <c r="J5" s="47"/>
      <c r="K5" s="47"/>
      <c r="L5" s="49"/>
      <c r="V5" s="52" t="str">
        <f t="shared" si="2"/>
        <v/>
      </c>
      <c r="W5" s="43"/>
      <c r="X5" s="47" t="str">
        <f t="shared" si="3"/>
        <v/>
      </c>
      <c r="Y5" s="47"/>
      <c r="Z5" s="47"/>
      <c r="AA5" s="47"/>
      <c r="AB5" s="55"/>
      <c r="AC5" s="56"/>
      <c r="AD5" s="56"/>
      <c r="AE5" s="57"/>
    </row>
    <row r="6">
      <c r="E6" s="43"/>
      <c r="F6" s="47" t="str">
        <f t="shared" si="1"/>
        <v/>
      </c>
      <c r="G6" s="47"/>
      <c r="H6" s="47"/>
      <c r="I6" s="47"/>
      <c r="J6" s="47"/>
      <c r="K6" s="47"/>
      <c r="L6" s="49"/>
      <c r="V6" s="52" t="str">
        <f t="shared" si="2"/>
        <v/>
      </c>
      <c r="W6" s="43"/>
      <c r="X6" s="47" t="str">
        <f t="shared" si="3"/>
        <v/>
      </c>
      <c r="Y6" s="47"/>
      <c r="Z6" s="47"/>
      <c r="AA6" s="47"/>
      <c r="AB6" s="55"/>
      <c r="AC6" s="56"/>
      <c r="AD6" s="56"/>
      <c r="AE6" s="57"/>
    </row>
    <row r="7">
      <c r="E7" s="60"/>
      <c r="F7" s="62" t="str">
        <f t="shared" si="1"/>
        <v/>
      </c>
      <c r="G7" s="62"/>
      <c r="H7" s="62"/>
      <c r="I7" s="62"/>
      <c r="J7" s="62"/>
      <c r="K7" s="62"/>
      <c r="L7" s="63"/>
      <c r="V7" s="52" t="str">
        <f t="shared" si="2"/>
        <v/>
      </c>
      <c r="W7" s="60"/>
      <c r="X7" s="62" t="str">
        <f t="shared" si="3"/>
        <v/>
      </c>
      <c r="Y7" s="62"/>
      <c r="Z7" s="62"/>
      <c r="AA7" s="62"/>
      <c r="AB7" s="65"/>
      <c r="AC7" s="66"/>
      <c r="AD7" s="66"/>
      <c r="AE7" s="68"/>
    </row>
    <row r="8">
      <c r="E8" s="69"/>
      <c r="F8" s="70"/>
      <c r="G8" s="71"/>
      <c r="H8" s="71"/>
      <c r="I8" s="71"/>
      <c r="J8" s="71"/>
      <c r="K8" s="71"/>
      <c r="L8" s="71"/>
      <c r="V8" s="72"/>
      <c r="W8" s="73"/>
      <c r="X8" s="73"/>
      <c r="Y8" s="73"/>
      <c r="Z8" s="73"/>
      <c r="AA8" s="73"/>
      <c r="AB8" s="74"/>
      <c r="AC8" s="75"/>
      <c r="AD8" s="75"/>
      <c r="AE8" s="76"/>
    </row>
    <row r="9" ht="26.25" customHeight="1">
      <c r="B9" s="77"/>
      <c r="C9" s="77"/>
      <c r="D9" s="77"/>
      <c r="E9" s="78"/>
      <c r="F9" s="79" t="s">
        <v>17</v>
      </c>
      <c r="G9" s="81" t="s">
        <v>86</v>
      </c>
      <c r="H9" s="82" t="s">
        <v>22</v>
      </c>
      <c r="I9" s="81" t="s">
        <v>23</v>
      </c>
      <c r="J9" s="81" t="s">
        <v>24</v>
      </c>
      <c r="K9" s="81" t="s">
        <v>25</v>
      </c>
      <c r="L9" s="81" t="s">
        <v>26</v>
      </c>
      <c r="M9" s="84" t="s">
        <v>28</v>
      </c>
      <c r="N9" s="84" t="s">
        <v>29</v>
      </c>
      <c r="O9" s="77"/>
      <c r="P9" s="77"/>
      <c r="Q9" s="77"/>
      <c r="R9" s="77"/>
      <c r="S9" s="77"/>
      <c r="T9" s="77"/>
      <c r="U9" s="77"/>
      <c r="V9" s="79" t="s">
        <v>17</v>
      </c>
      <c r="W9" s="81" t="s">
        <v>33</v>
      </c>
      <c r="X9" s="81" t="s">
        <v>34</v>
      </c>
      <c r="Y9" s="81" t="s">
        <v>35</v>
      </c>
      <c r="Z9" s="81" t="s">
        <v>36</v>
      </c>
      <c r="AA9" s="81" t="s">
        <v>38</v>
      </c>
      <c r="AB9" s="81" t="s">
        <v>26</v>
      </c>
      <c r="AC9" s="85"/>
      <c r="AD9" s="85"/>
      <c r="AE9" s="86" t="s">
        <v>39</v>
      </c>
      <c r="AF9" s="86" t="s">
        <v>40</v>
      </c>
      <c r="AG9" s="86" t="s">
        <v>41</v>
      </c>
      <c r="AH9" s="86" t="s">
        <v>42</v>
      </c>
    </row>
    <row r="10" ht="26.25" customHeight="1">
      <c r="B10" s="86" t="s">
        <v>44</v>
      </c>
      <c r="C10" s="86" t="s">
        <v>45</v>
      </c>
      <c r="D10" s="77"/>
      <c r="E10" s="88"/>
      <c r="F10" s="89">
        <f t="shared" ref="F10:F11" si="4">IF(G10="","",ROW()-9)</f>
        <v>1</v>
      </c>
      <c r="G10" s="90" t="s">
        <v>87</v>
      </c>
      <c r="H10" s="102" t="s">
        <v>88</v>
      </c>
      <c r="I10" s="90" t="s">
        <v>74</v>
      </c>
      <c r="J10" s="93" t="b">
        <v>0</v>
      </c>
      <c r="K10" s="89"/>
      <c r="L10" s="89"/>
      <c r="M10" s="107" t="s">
        <v>91</v>
      </c>
      <c r="N10" s="107" t="s">
        <v>92</v>
      </c>
      <c r="O10" s="95"/>
      <c r="P10" s="95"/>
      <c r="Q10" s="95"/>
      <c r="R10" s="95"/>
      <c r="S10" s="95"/>
      <c r="T10" s="95"/>
      <c r="U10" s="95"/>
      <c r="V10" s="89">
        <f t="shared" ref="V10:V198" si="5">IF(W10="","",ROW()-6)</f>
        <v>4</v>
      </c>
      <c r="W10" s="91" t="s">
        <v>93</v>
      </c>
      <c r="X10" s="90" t="s">
        <v>94</v>
      </c>
      <c r="Y10" s="90" t="s">
        <v>95</v>
      </c>
      <c r="Z10" s="89"/>
      <c r="AA10" s="90" t="s">
        <v>96</v>
      </c>
      <c r="AB10" s="89"/>
      <c r="AC10" s="97"/>
      <c r="AD10" s="97"/>
      <c r="AE10" s="90" t="s">
        <v>93</v>
      </c>
      <c r="AF10" s="90" t="s">
        <v>97</v>
      </c>
      <c r="AG10" s="91" t="s">
        <v>98</v>
      </c>
      <c r="AH10" s="99"/>
    </row>
    <row r="11" ht="26.25" customHeight="1">
      <c r="A11" s="109" t="s">
        <v>99</v>
      </c>
      <c r="B11" s="91" t="s">
        <v>100</v>
      </c>
      <c r="C11" s="93"/>
      <c r="D11" s="77"/>
      <c r="E11" s="101"/>
      <c r="F11" s="89">
        <f t="shared" si="4"/>
        <v>2</v>
      </c>
      <c r="G11" s="90" t="s">
        <v>87</v>
      </c>
      <c r="H11" s="102" t="s">
        <v>101</v>
      </c>
      <c r="I11" s="90" t="s">
        <v>102</v>
      </c>
      <c r="J11" s="93" t="b">
        <v>0</v>
      </c>
      <c r="K11" s="91" t="s">
        <v>103</v>
      </c>
      <c r="L11" s="91" t="s">
        <v>104</v>
      </c>
      <c r="M11" s="107" t="s">
        <v>91</v>
      </c>
      <c r="N11" s="107" t="s">
        <v>92</v>
      </c>
      <c r="O11" s="95"/>
      <c r="P11" s="95"/>
      <c r="Q11" s="95"/>
      <c r="R11" s="95"/>
      <c r="S11" s="95"/>
      <c r="T11" s="95"/>
      <c r="U11" s="95"/>
      <c r="V11" s="89" t="str">
        <f t="shared" si="5"/>
        <v/>
      </c>
      <c r="W11" s="89"/>
      <c r="X11" s="92"/>
      <c r="Y11" s="92"/>
      <c r="Z11" s="89"/>
      <c r="AA11" s="92"/>
      <c r="AB11" s="89"/>
      <c r="AC11" s="104"/>
      <c r="AD11" s="104"/>
      <c r="AE11" s="92"/>
      <c r="AF11" s="92"/>
      <c r="AG11" s="99"/>
      <c r="AH11" s="99"/>
    </row>
    <row r="12" ht="26.25" customHeight="1">
      <c r="A12" s="109" t="s">
        <v>105</v>
      </c>
      <c r="B12" s="91" t="s">
        <v>106</v>
      </c>
      <c r="C12" s="93" t="b">
        <v>0</v>
      </c>
      <c r="D12" s="77"/>
      <c r="E12" s="101"/>
      <c r="F12" s="89">
        <f t="shared" ref="F12:F15" si="6">IF(G12="","",ROW()-6)</f>
        <v>6</v>
      </c>
      <c r="G12" s="90" t="s">
        <v>87</v>
      </c>
      <c r="H12" s="102" t="s">
        <v>107</v>
      </c>
      <c r="I12" s="90" t="s">
        <v>108</v>
      </c>
      <c r="J12" s="93" t="b">
        <v>0</v>
      </c>
      <c r="K12" s="91" t="s">
        <v>109</v>
      </c>
      <c r="L12" s="91" t="s">
        <v>110</v>
      </c>
      <c r="M12" s="107" t="s">
        <v>91</v>
      </c>
      <c r="N12" s="107" t="s">
        <v>92</v>
      </c>
      <c r="O12" s="95"/>
      <c r="P12" s="95"/>
      <c r="Q12" s="95"/>
      <c r="R12" s="95"/>
      <c r="S12" s="95"/>
      <c r="T12" s="95"/>
      <c r="U12" s="95"/>
      <c r="V12" s="89" t="str">
        <f t="shared" si="5"/>
        <v/>
      </c>
      <c r="W12" s="89"/>
      <c r="X12" s="92"/>
      <c r="Y12" s="92"/>
      <c r="Z12" s="89"/>
      <c r="AA12" s="92"/>
      <c r="AB12" s="89"/>
      <c r="AC12" s="104"/>
      <c r="AD12" s="104"/>
      <c r="AE12" s="92"/>
      <c r="AF12" s="92"/>
      <c r="AG12" s="99"/>
      <c r="AH12" s="99"/>
    </row>
    <row r="13" ht="26.25" customHeight="1">
      <c r="A13" s="109" t="s">
        <v>111</v>
      </c>
      <c r="B13" s="91" t="s">
        <v>112</v>
      </c>
      <c r="C13" s="93" t="b">
        <v>0</v>
      </c>
      <c r="D13" s="77"/>
      <c r="E13" s="101"/>
      <c r="F13" s="89">
        <f t="shared" si="6"/>
        <v>7</v>
      </c>
      <c r="G13" s="90" t="s">
        <v>87</v>
      </c>
      <c r="H13" s="102" t="s">
        <v>113</v>
      </c>
      <c r="I13" s="90" t="s">
        <v>114</v>
      </c>
      <c r="J13" s="93" t="b">
        <v>0</v>
      </c>
      <c r="K13" s="89"/>
      <c r="L13" s="89"/>
      <c r="M13" s="107" t="s">
        <v>91</v>
      </c>
      <c r="N13" s="107" t="s">
        <v>92</v>
      </c>
      <c r="O13" s="95"/>
      <c r="P13" s="95"/>
      <c r="Q13" s="95"/>
      <c r="R13" s="95"/>
      <c r="S13" s="95"/>
      <c r="T13" s="95"/>
      <c r="U13" s="95"/>
      <c r="V13" s="89" t="str">
        <f t="shared" si="5"/>
        <v/>
      </c>
      <c r="W13" s="89"/>
      <c r="X13" s="92"/>
      <c r="Y13" s="92"/>
      <c r="Z13" s="89"/>
      <c r="AA13" s="92"/>
      <c r="AB13" s="89"/>
      <c r="AC13" s="104"/>
      <c r="AD13" s="104"/>
      <c r="AE13" s="92"/>
      <c r="AF13" s="92"/>
      <c r="AG13" s="99"/>
      <c r="AH13" s="99"/>
    </row>
    <row r="14" ht="26.25" customHeight="1">
      <c r="A14" s="109" t="s">
        <v>115</v>
      </c>
      <c r="B14" s="91" t="s">
        <v>116</v>
      </c>
      <c r="C14" s="93" t="b">
        <v>1</v>
      </c>
      <c r="D14" s="77"/>
      <c r="E14" s="101"/>
      <c r="F14" s="89">
        <f t="shared" si="6"/>
        <v>8</v>
      </c>
      <c r="G14" s="90" t="s">
        <v>87</v>
      </c>
      <c r="H14" s="102" t="s">
        <v>117</v>
      </c>
      <c r="I14" s="90" t="s">
        <v>114</v>
      </c>
      <c r="J14" s="93" t="b">
        <v>0</v>
      </c>
      <c r="K14" s="89"/>
      <c r="L14" s="89"/>
      <c r="M14" s="107" t="s">
        <v>91</v>
      </c>
      <c r="N14" s="107" t="s">
        <v>92</v>
      </c>
      <c r="O14" s="95"/>
      <c r="P14" s="95"/>
      <c r="Q14" s="95"/>
      <c r="R14" s="95"/>
      <c r="S14" s="95"/>
      <c r="T14" s="95"/>
      <c r="U14" s="95"/>
      <c r="V14" s="89" t="str">
        <f t="shared" si="5"/>
        <v/>
      </c>
      <c r="W14" s="89"/>
      <c r="X14" s="92"/>
      <c r="Y14" s="92"/>
      <c r="Z14" s="89"/>
      <c r="AA14" s="92"/>
      <c r="AB14" s="89"/>
      <c r="AC14" s="104"/>
      <c r="AD14" s="104"/>
      <c r="AE14" s="92"/>
      <c r="AF14" s="92"/>
      <c r="AG14" s="99"/>
      <c r="AH14" s="99"/>
    </row>
    <row r="15" ht="26.25" customHeight="1">
      <c r="A15" s="109" t="s">
        <v>118</v>
      </c>
      <c r="B15" s="91" t="s">
        <v>119</v>
      </c>
      <c r="C15" s="93" t="b">
        <v>0</v>
      </c>
      <c r="D15" s="77"/>
      <c r="E15" s="101"/>
      <c r="F15" s="89">
        <f t="shared" si="6"/>
        <v>9</v>
      </c>
      <c r="G15" s="90" t="s">
        <v>87</v>
      </c>
      <c r="H15" s="102" t="s">
        <v>120</v>
      </c>
      <c r="I15" s="90" t="s">
        <v>108</v>
      </c>
      <c r="J15" s="93" t="b">
        <v>0</v>
      </c>
      <c r="K15" s="91" t="s">
        <v>121</v>
      </c>
      <c r="L15" s="89"/>
      <c r="M15" s="110"/>
      <c r="N15" s="110"/>
      <c r="O15" s="95"/>
      <c r="P15" s="95"/>
      <c r="Q15" s="95"/>
      <c r="R15" s="95"/>
      <c r="S15" s="95"/>
      <c r="T15" s="95"/>
      <c r="U15" s="95"/>
      <c r="V15" s="89" t="str">
        <f t="shared" si="5"/>
        <v/>
      </c>
      <c r="W15" s="89"/>
      <c r="X15" s="92"/>
      <c r="Y15" s="92"/>
      <c r="Z15" s="89"/>
      <c r="AA15" s="92"/>
      <c r="AB15" s="89"/>
      <c r="AC15" s="104"/>
      <c r="AD15" s="104"/>
      <c r="AE15" s="92"/>
      <c r="AF15" s="92"/>
      <c r="AG15" s="99"/>
      <c r="AH15" s="99"/>
    </row>
    <row r="16" ht="26.25" customHeight="1">
      <c r="A16" s="109" t="s">
        <v>122</v>
      </c>
      <c r="B16" s="91" t="s">
        <v>123</v>
      </c>
      <c r="C16" s="93" t="b">
        <v>1</v>
      </c>
      <c r="D16" s="77"/>
      <c r="E16" s="101"/>
      <c r="F16" s="89">
        <f>IF(G16="","",ROW()-9)</f>
        <v>7</v>
      </c>
      <c r="G16" s="90" t="s">
        <v>124</v>
      </c>
      <c r="H16" s="102" t="s">
        <v>125</v>
      </c>
      <c r="I16" s="90" t="s">
        <v>60</v>
      </c>
      <c r="J16" s="93" t="b">
        <v>0</v>
      </c>
      <c r="K16" s="89"/>
      <c r="L16" s="89"/>
      <c r="M16" s="107" t="s">
        <v>126</v>
      </c>
      <c r="N16" s="107" t="s">
        <v>126</v>
      </c>
      <c r="O16" s="95"/>
      <c r="P16" s="95"/>
      <c r="Q16" s="95"/>
      <c r="R16" s="95"/>
      <c r="S16" s="95"/>
      <c r="T16" s="95"/>
      <c r="U16" s="95"/>
      <c r="V16" s="89" t="str">
        <f t="shared" si="5"/>
        <v/>
      </c>
      <c r="W16" s="89"/>
      <c r="X16" s="92"/>
      <c r="Y16" s="92"/>
      <c r="Z16" s="89"/>
      <c r="AA16" s="92"/>
      <c r="AB16" s="89"/>
      <c r="AC16" s="104"/>
      <c r="AD16" s="104"/>
      <c r="AE16" s="92"/>
      <c r="AF16" s="92"/>
      <c r="AG16" s="99"/>
      <c r="AH16" s="99"/>
    </row>
    <row r="17" ht="26.25" customHeight="1">
      <c r="A17" s="109" t="s">
        <v>127</v>
      </c>
      <c r="B17" s="91" t="s">
        <v>128</v>
      </c>
      <c r="C17" s="93" t="b">
        <v>0</v>
      </c>
      <c r="D17" s="77"/>
      <c r="E17" s="101"/>
      <c r="F17" s="89">
        <f t="shared" ref="F17:F22" si="7">IF(G17="","",ROW()-6)</f>
        <v>11</v>
      </c>
      <c r="G17" s="90" t="s">
        <v>124</v>
      </c>
      <c r="H17" s="102" t="s">
        <v>129</v>
      </c>
      <c r="I17" s="90" t="s">
        <v>60</v>
      </c>
      <c r="J17" s="93" t="b">
        <v>0</v>
      </c>
      <c r="K17" s="89"/>
      <c r="L17" s="89"/>
      <c r="M17" s="107" t="s">
        <v>126</v>
      </c>
      <c r="N17" s="107" t="s">
        <v>126</v>
      </c>
      <c r="O17" s="95"/>
      <c r="P17" s="95"/>
      <c r="Q17" s="95"/>
      <c r="R17" s="95"/>
      <c r="S17" s="95"/>
      <c r="T17" s="95"/>
      <c r="U17" s="95"/>
      <c r="V17" s="89" t="str">
        <f t="shared" si="5"/>
        <v/>
      </c>
      <c r="W17" s="89"/>
      <c r="X17" s="92"/>
      <c r="Y17" s="92"/>
      <c r="Z17" s="89"/>
      <c r="AA17" s="92"/>
      <c r="AB17" s="89"/>
      <c r="AC17" s="104"/>
      <c r="AD17" s="104"/>
      <c r="AE17" s="92"/>
      <c r="AF17" s="92"/>
      <c r="AG17" s="99"/>
      <c r="AH17" s="99"/>
    </row>
    <row r="18" ht="26.25" customHeight="1">
      <c r="A18" s="109" t="s">
        <v>130</v>
      </c>
      <c r="B18" s="91" t="s">
        <v>87</v>
      </c>
      <c r="C18" s="93" t="b">
        <v>1</v>
      </c>
      <c r="D18" s="77"/>
      <c r="E18" s="101"/>
      <c r="F18" s="89">
        <f t="shared" si="7"/>
        <v>12</v>
      </c>
      <c r="G18" s="90" t="s">
        <v>124</v>
      </c>
      <c r="H18" s="102" t="s">
        <v>131</v>
      </c>
      <c r="I18" s="90" t="s">
        <v>132</v>
      </c>
      <c r="J18" s="93" t="b">
        <v>0</v>
      </c>
      <c r="K18" s="89"/>
      <c r="L18" s="89"/>
      <c r="M18" s="107" t="s">
        <v>126</v>
      </c>
      <c r="N18" s="107" t="s">
        <v>126</v>
      </c>
      <c r="O18" s="95"/>
      <c r="P18" s="95"/>
      <c r="Q18" s="95"/>
      <c r="R18" s="95"/>
      <c r="S18" s="95"/>
      <c r="T18" s="95"/>
      <c r="U18" s="95"/>
      <c r="V18" s="89" t="str">
        <f t="shared" si="5"/>
        <v/>
      </c>
      <c r="W18" s="89"/>
      <c r="X18" s="92"/>
      <c r="Y18" s="92"/>
      <c r="Z18" s="89"/>
      <c r="AA18" s="92"/>
      <c r="AB18" s="89"/>
      <c r="AC18" s="104"/>
      <c r="AD18" s="104"/>
      <c r="AE18" s="92"/>
      <c r="AF18" s="92"/>
      <c r="AG18" s="99"/>
      <c r="AH18" s="99"/>
    </row>
    <row r="19" ht="26.25" customHeight="1">
      <c r="A19" s="109" t="s">
        <v>133</v>
      </c>
      <c r="B19" s="91" t="s">
        <v>134</v>
      </c>
      <c r="C19" s="93" t="b">
        <v>0</v>
      </c>
      <c r="D19" s="77"/>
      <c r="E19" s="101"/>
      <c r="F19" s="89">
        <f t="shared" si="7"/>
        <v>13</v>
      </c>
      <c r="G19" s="90" t="s">
        <v>124</v>
      </c>
      <c r="H19" s="102" t="s">
        <v>135</v>
      </c>
      <c r="I19" s="90" t="s">
        <v>70</v>
      </c>
      <c r="J19" s="93" t="b">
        <v>0</v>
      </c>
      <c r="K19" s="89"/>
      <c r="L19" s="89"/>
      <c r="M19" s="107" t="s">
        <v>126</v>
      </c>
      <c r="N19" s="107" t="s">
        <v>126</v>
      </c>
      <c r="O19" s="95"/>
      <c r="P19" s="95"/>
      <c r="Q19" s="95"/>
      <c r="R19" s="95"/>
      <c r="S19" s="95"/>
      <c r="T19" s="95"/>
      <c r="U19" s="95"/>
      <c r="V19" s="89" t="str">
        <f t="shared" si="5"/>
        <v/>
      </c>
      <c r="W19" s="89"/>
      <c r="X19" s="92"/>
      <c r="Y19" s="92"/>
      <c r="Z19" s="89"/>
      <c r="AA19" s="92"/>
      <c r="AB19" s="89"/>
      <c r="AC19" s="104"/>
      <c r="AD19" s="104"/>
      <c r="AE19" s="92"/>
      <c r="AF19" s="92"/>
      <c r="AG19" s="99"/>
      <c r="AH19" s="99"/>
    </row>
    <row r="20" ht="26.25" customHeight="1">
      <c r="A20" s="109" t="s">
        <v>136</v>
      </c>
      <c r="B20" s="91" t="s">
        <v>124</v>
      </c>
      <c r="C20" s="93" t="b">
        <v>1</v>
      </c>
      <c r="D20" s="77"/>
      <c r="E20" s="101"/>
      <c r="F20" s="89">
        <f t="shared" si="7"/>
        <v>14</v>
      </c>
      <c r="G20" s="90" t="s">
        <v>124</v>
      </c>
      <c r="H20" s="102" t="s">
        <v>137</v>
      </c>
      <c r="I20" s="90" t="s">
        <v>114</v>
      </c>
      <c r="J20" s="93" t="b">
        <v>0</v>
      </c>
      <c r="K20" s="89"/>
      <c r="L20" s="89"/>
      <c r="M20" s="107" t="s">
        <v>126</v>
      </c>
      <c r="N20" s="107" t="s">
        <v>126</v>
      </c>
      <c r="O20" s="95"/>
      <c r="P20" s="95"/>
      <c r="Q20" s="95"/>
      <c r="R20" s="95"/>
      <c r="S20" s="95"/>
      <c r="T20" s="95"/>
      <c r="U20" s="95"/>
      <c r="V20" s="89" t="str">
        <f t="shared" si="5"/>
        <v/>
      </c>
      <c r="W20" s="89"/>
      <c r="X20" s="92"/>
      <c r="Y20" s="92"/>
      <c r="Z20" s="89"/>
      <c r="AA20" s="92"/>
      <c r="AB20" s="89"/>
      <c r="AC20" s="104"/>
      <c r="AD20" s="104"/>
      <c r="AE20" s="92"/>
      <c r="AF20" s="92"/>
      <c r="AG20" s="99"/>
      <c r="AH20" s="99"/>
    </row>
    <row r="21" ht="26.25" customHeight="1">
      <c r="B21" s="99"/>
      <c r="C21" s="93" t="b">
        <v>0</v>
      </c>
      <c r="D21" s="77"/>
      <c r="E21" s="101"/>
      <c r="F21" s="89">
        <f t="shared" si="7"/>
        <v>15</v>
      </c>
      <c r="G21" s="90" t="s">
        <v>124</v>
      </c>
      <c r="H21" s="102" t="s">
        <v>26</v>
      </c>
      <c r="I21" s="90" t="s">
        <v>74</v>
      </c>
      <c r="J21" s="93" t="b">
        <v>0</v>
      </c>
      <c r="K21" s="89"/>
      <c r="L21" s="89"/>
      <c r="M21" s="107" t="s">
        <v>126</v>
      </c>
      <c r="N21" s="107" t="s">
        <v>126</v>
      </c>
      <c r="O21" s="95"/>
      <c r="P21" s="95"/>
      <c r="Q21" s="95"/>
      <c r="R21" s="95"/>
      <c r="S21" s="95"/>
      <c r="T21" s="95"/>
      <c r="U21" s="95"/>
      <c r="V21" s="89" t="str">
        <f t="shared" si="5"/>
        <v/>
      </c>
      <c r="W21" s="89"/>
      <c r="X21" s="92"/>
      <c r="Y21" s="92"/>
      <c r="Z21" s="89"/>
      <c r="AA21" s="92"/>
      <c r="AB21" s="89"/>
      <c r="AC21" s="104"/>
      <c r="AD21" s="104"/>
      <c r="AE21" s="92"/>
      <c r="AF21" s="92"/>
      <c r="AG21" s="99"/>
      <c r="AH21" s="99"/>
    </row>
    <row r="22" ht="26.25" customHeight="1">
      <c r="B22" s="99"/>
      <c r="C22" s="93" t="b">
        <v>0</v>
      </c>
      <c r="D22" s="77"/>
      <c r="E22" s="101"/>
      <c r="F22" s="89">
        <f t="shared" si="7"/>
        <v>16</v>
      </c>
      <c r="G22" s="90" t="s">
        <v>124</v>
      </c>
      <c r="H22" s="102" t="s">
        <v>138</v>
      </c>
      <c r="I22" s="90" t="s">
        <v>76</v>
      </c>
      <c r="J22" s="93" t="b">
        <v>0</v>
      </c>
      <c r="K22" s="89"/>
      <c r="L22" s="89"/>
      <c r="M22" s="107" t="s">
        <v>126</v>
      </c>
      <c r="N22" s="107" t="s">
        <v>126</v>
      </c>
      <c r="O22" s="95"/>
      <c r="P22" s="95"/>
      <c r="Q22" s="95"/>
      <c r="R22" s="95"/>
      <c r="S22" s="95"/>
      <c r="T22" s="95"/>
      <c r="U22" s="95"/>
      <c r="V22" s="89" t="str">
        <f t="shared" si="5"/>
        <v/>
      </c>
      <c r="W22" s="89"/>
      <c r="X22" s="92"/>
      <c r="Y22" s="92"/>
      <c r="Z22" s="89"/>
      <c r="AA22" s="92"/>
      <c r="AB22" s="89"/>
      <c r="AC22" s="104"/>
      <c r="AD22" s="104"/>
      <c r="AE22" s="92"/>
      <c r="AF22" s="92"/>
      <c r="AG22" s="99"/>
      <c r="AH22" s="99"/>
    </row>
    <row r="23" ht="26.25" customHeight="1">
      <c r="B23" s="99"/>
      <c r="C23" s="93" t="b">
        <v>0</v>
      </c>
      <c r="D23" s="77"/>
      <c r="E23" s="101"/>
      <c r="F23" s="89">
        <f t="shared" ref="F23:F33" si="8">IF(G23="","",ROW()-9)</f>
        <v>14</v>
      </c>
      <c r="G23" s="90" t="s">
        <v>112</v>
      </c>
      <c r="H23" s="102" t="s">
        <v>139</v>
      </c>
      <c r="I23" s="90" t="s">
        <v>60</v>
      </c>
      <c r="J23" s="93" t="b">
        <v>0</v>
      </c>
      <c r="K23" s="89"/>
      <c r="L23" s="89"/>
      <c r="M23" s="107" t="s">
        <v>140</v>
      </c>
      <c r="N23" s="107" t="s">
        <v>126</v>
      </c>
      <c r="O23" s="95"/>
      <c r="P23" s="95"/>
      <c r="Q23" s="95"/>
      <c r="R23" s="95"/>
      <c r="S23" s="95"/>
      <c r="T23" s="95"/>
      <c r="U23" s="95"/>
      <c r="V23" s="89" t="str">
        <f t="shared" si="5"/>
        <v/>
      </c>
      <c r="W23" s="89"/>
      <c r="X23" s="92"/>
      <c r="Y23" s="92"/>
      <c r="Z23" s="89"/>
      <c r="AA23" s="92"/>
      <c r="AB23" s="89"/>
      <c r="AC23" s="104"/>
      <c r="AD23" s="104"/>
      <c r="AE23" s="92"/>
      <c r="AF23" s="92"/>
      <c r="AG23" s="99"/>
      <c r="AH23" s="99"/>
    </row>
    <row r="24" ht="26.25" customHeight="1">
      <c r="B24" s="99"/>
      <c r="C24" s="93" t="b">
        <v>0</v>
      </c>
      <c r="D24" s="77"/>
      <c r="E24" s="101"/>
      <c r="F24" s="89">
        <f t="shared" si="8"/>
        <v>15</v>
      </c>
      <c r="G24" s="90" t="s">
        <v>112</v>
      </c>
      <c r="H24" s="102" t="s">
        <v>141</v>
      </c>
      <c r="I24" s="90" t="s">
        <v>142</v>
      </c>
      <c r="J24" s="93" t="b">
        <v>0</v>
      </c>
      <c r="K24" s="89"/>
      <c r="L24" s="89"/>
      <c r="M24" s="107" t="s">
        <v>140</v>
      </c>
      <c r="N24" s="107" t="s">
        <v>126</v>
      </c>
      <c r="O24" s="95"/>
      <c r="P24" s="95"/>
      <c r="Q24" s="95"/>
      <c r="R24" s="95"/>
      <c r="S24" s="95"/>
      <c r="T24" s="95"/>
      <c r="U24" s="95"/>
      <c r="V24" s="89" t="str">
        <f t="shared" si="5"/>
        <v/>
      </c>
      <c r="W24" s="89"/>
      <c r="X24" s="92"/>
      <c r="Y24" s="92"/>
      <c r="Z24" s="89"/>
      <c r="AA24" s="92"/>
      <c r="AB24" s="89"/>
      <c r="AC24" s="104"/>
      <c r="AD24" s="104"/>
      <c r="AE24" s="92"/>
      <c r="AF24" s="92"/>
      <c r="AG24" s="99"/>
      <c r="AH24" s="99"/>
    </row>
    <row r="25" ht="26.25" customHeight="1">
      <c r="B25" s="99"/>
      <c r="C25" s="93" t="b">
        <v>0</v>
      </c>
      <c r="D25" s="77"/>
      <c r="E25" s="101"/>
      <c r="F25" s="89">
        <f t="shared" si="8"/>
        <v>16</v>
      </c>
      <c r="G25" s="90" t="s">
        <v>112</v>
      </c>
      <c r="H25" s="102" t="s">
        <v>143</v>
      </c>
      <c r="I25" s="90" t="s">
        <v>144</v>
      </c>
      <c r="J25" s="93" t="b">
        <v>0</v>
      </c>
      <c r="K25" s="89"/>
      <c r="L25" s="89"/>
      <c r="M25" s="107" t="s">
        <v>140</v>
      </c>
      <c r="N25" s="107" t="s">
        <v>126</v>
      </c>
      <c r="O25" s="95"/>
      <c r="P25" s="95"/>
      <c r="Q25" s="95"/>
      <c r="R25" s="95"/>
      <c r="S25" s="95"/>
      <c r="T25" s="95"/>
      <c r="U25" s="95"/>
      <c r="V25" s="89" t="str">
        <f t="shared" si="5"/>
        <v/>
      </c>
      <c r="W25" s="89"/>
      <c r="X25" s="92"/>
      <c r="Y25" s="92"/>
      <c r="Z25" s="89"/>
      <c r="AA25" s="92"/>
      <c r="AB25" s="89"/>
      <c r="AC25" s="104"/>
      <c r="AD25" s="104"/>
      <c r="AE25" s="92"/>
      <c r="AF25" s="92"/>
      <c r="AG25" s="99"/>
      <c r="AH25" s="99"/>
    </row>
    <row r="26" ht="26.25" customHeight="1">
      <c r="B26" s="99"/>
      <c r="C26" s="93" t="b">
        <v>0</v>
      </c>
      <c r="D26" s="77"/>
      <c r="E26" s="101"/>
      <c r="F26" s="89">
        <f t="shared" si="8"/>
        <v>17</v>
      </c>
      <c r="G26" s="90" t="s">
        <v>112</v>
      </c>
      <c r="H26" s="102" t="s">
        <v>145</v>
      </c>
      <c r="I26" s="90" t="s">
        <v>74</v>
      </c>
      <c r="J26" s="93" t="b">
        <v>0</v>
      </c>
      <c r="K26" s="89"/>
      <c r="L26" s="89"/>
      <c r="M26" s="107" t="s">
        <v>140</v>
      </c>
      <c r="N26" s="107" t="s">
        <v>126</v>
      </c>
      <c r="O26" s="95"/>
      <c r="P26" s="95"/>
      <c r="Q26" s="95"/>
      <c r="R26" s="95"/>
      <c r="S26" s="95"/>
      <c r="T26" s="95"/>
      <c r="U26" s="95"/>
      <c r="V26" s="89" t="str">
        <f t="shared" si="5"/>
        <v/>
      </c>
      <c r="W26" s="89"/>
      <c r="X26" s="92"/>
      <c r="Y26" s="92"/>
      <c r="Z26" s="89"/>
      <c r="AA26" s="92"/>
      <c r="AB26" s="89"/>
      <c r="AC26" s="104"/>
      <c r="AD26" s="104"/>
      <c r="AE26" s="92"/>
      <c r="AF26" s="92"/>
      <c r="AG26" s="99"/>
      <c r="AH26" s="99"/>
    </row>
    <row r="27" ht="26.25" customHeight="1">
      <c r="B27" s="99"/>
      <c r="C27" s="93" t="b">
        <v>0</v>
      </c>
      <c r="D27" s="77"/>
      <c r="E27" s="101"/>
      <c r="F27" s="89">
        <f t="shared" si="8"/>
        <v>18</v>
      </c>
      <c r="G27" s="90" t="s">
        <v>123</v>
      </c>
      <c r="H27" s="102" t="s">
        <v>146</v>
      </c>
      <c r="I27" s="90" t="s">
        <v>70</v>
      </c>
      <c r="J27" s="93" t="b">
        <v>0</v>
      </c>
      <c r="K27" s="89"/>
      <c r="L27" s="89"/>
      <c r="M27" s="107" t="s">
        <v>147</v>
      </c>
      <c r="N27" s="107" t="s">
        <v>126</v>
      </c>
      <c r="O27" s="95"/>
      <c r="P27" s="95"/>
      <c r="Q27" s="95"/>
      <c r="R27" s="95"/>
      <c r="S27" s="95"/>
      <c r="T27" s="95"/>
      <c r="U27" s="95"/>
      <c r="V27" s="89" t="str">
        <f t="shared" si="5"/>
        <v/>
      </c>
      <c r="W27" s="89"/>
      <c r="X27" s="92"/>
      <c r="Y27" s="92"/>
      <c r="Z27" s="89"/>
      <c r="AA27" s="92"/>
      <c r="AB27" s="89"/>
      <c r="AC27" s="104"/>
      <c r="AD27" s="104"/>
      <c r="AE27" s="92"/>
      <c r="AF27" s="92"/>
      <c r="AG27" s="99"/>
      <c r="AH27" s="99"/>
    </row>
    <row r="28" ht="26.25" customHeight="1">
      <c r="B28" s="99"/>
      <c r="C28" s="93" t="b">
        <v>0</v>
      </c>
      <c r="D28" s="77"/>
      <c r="E28" s="101"/>
      <c r="F28" s="89">
        <f t="shared" si="8"/>
        <v>19</v>
      </c>
      <c r="G28" s="90" t="s">
        <v>123</v>
      </c>
      <c r="H28" s="102" t="s">
        <v>148</v>
      </c>
      <c r="I28" s="90" t="s">
        <v>70</v>
      </c>
      <c r="J28" s="93" t="b">
        <v>0</v>
      </c>
      <c r="K28" s="89"/>
      <c r="L28" s="89"/>
      <c r="M28" s="107" t="s">
        <v>147</v>
      </c>
      <c r="N28" s="107" t="s">
        <v>126</v>
      </c>
      <c r="O28" s="95"/>
      <c r="P28" s="95"/>
      <c r="Q28" s="95"/>
      <c r="R28" s="95"/>
      <c r="S28" s="95"/>
      <c r="T28" s="95"/>
      <c r="U28" s="95"/>
      <c r="V28" s="89" t="str">
        <f t="shared" si="5"/>
        <v/>
      </c>
      <c r="W28" s="89"/>
      <c r="X28" s="92"/>
      <c r="Y28" s="92"/>
      <c r="Z28" s="89"/>
      <c r="AA28" s="92"/>
      <c r="AB28" s="89"/>
      <c r="AC28" s="104"/>
      <c r="AD28" s="104"/>
      <c r="AE28" s="92"/>
      <c r="AF28" s="92"/>
      <c r="AG28" s="99"/>
      <c r="AH28" s="99"/>
    </row>
    <row r="29" ht="26.25" customHeight="1">
      <c r="B29" s="99"/>
      <c r="C29" s="93" t="b">
        <v>0</v>
      </c>
      <c r="D29" s="77"/>
      <c r="E29" s="101"/>
      <c r="F29" s="89">
        <f t="shared" si="8"/>
        <v>20</v>
      </c>
      <c r="G29" s="90" t="s">
        <v>123</v>
      </c>
      <c r="H29" s="102" t="s">
        <v>149</v>
      </c>
      <c r="I29" s="90" t="s">
        <v>60</v>
      </c>
      <c r="J29" s="93" t="b">
        <v>0</v>
      </c>
      <c r="K29" s="91" t="s">
        <v>103</v>
      </c>
      <c r="L29" s="89"/>
      <c r="M29" s="107" t="s">
        <v>147</v>
      </c>
      <c r="N29" s="107" t="s">
        <v>126</v>
      </c>
      <c r="O29" s="95"/>
      <c r="P29" s="95"/>
      <c r="Q29" s="95"/>
      <c r="R29" s="95"/>
      <c r="S29" s="95"/>
      <c r="T29" s="95"/>
      <c r="U29" s="95"/>
      <c r="V29" s="89" t="str">
        <f t="shared" si="5"/>
        <v/>
      </c>
      <c r="W29" s="89"/>
      <c r="X29" s="92"/>
      <c r="Y29" s="92"/>
      <c r="Z29" s="89"/>
      <c r="AA29" s="92"/>
      <c r="AB29" s="89"/>
      <c r="AC29" s="104"/>
      <c r="AD29" s="104"/>
      <c r="AE29" s="92"/>
      <c r="AF29" s="92"/>
      <c r="AG29" s="99"/>
      <c r="AH29" s="99"/>
    </row>
    <row r="30" ht="26.25" customHeight="1">
      <c r="B30" s="99"/>
      <c r="C30" s="93" t="b">
        <v>0</v>
      </c>
      <c r="D30" s="77"/>
      <c r="E30" s="101"/>
      <c r="F30" s="89">
        <f t="shared" si="8"/>
        <v>21</v>
      </c>
      <c r="G30" s="90" t="s">
        <v>123</v>
      </c>
      <c r="H30" s="102" t="s">
        <v>150</v>
      </c>
      <c r="I30" s="90" t="s">
        <v>60</v>
      </c>
      <c r="J30" s="93" t="b">
        <v>0</v>
      </c>
      <c r="K30" s="91" t="s">
        <v>103</v>
      </c>
      <c r="L30" s="89"/>
      <c r="M30" s="107" t="s">
        <v>147</v>
      </c>
      <c r="N30" s="107" t="s">
        <v>126</v>
      </c>
      <c r="O30" s="95"/>
      <c r="P30" s="95"/>
      <c r="Q30" s="95"/>
      <c r="R30" s="95"/>
      <c r="S30" s="95"/>
      <c r="T30" s="95"/>
      <c r="U30" s="95"/>
      <c r="V30" s="89" t="str">
        <f t="shared" si="5"/>
        <v/>
      </c>
      <c r="W30" s="89"/>
      <c r="X30" s="92"/>
      <c r="Y30" s="92"/>
      <c r="Z30" s="89"/>
      <c r="AA30" s="92"/>
      <c r="AB30" s="89"/>
      <c r="AC30" s="104"/>
      <c r="AD30" s="104"/>
      <c r="AE30" s="92"/>
      <c r="AF30" s="92"/>
      <c r="AG30" s="99"/>
      <c r="AH30" s="99"/>
    </row>
    <row r="31" ht="26.25" customHeight="1">
      <c r="B31" s="95"/>
      <c r="C31" s="95"/>
      <c r="D31" s="77"/>
      <c r="E31" s="101"/>
      <c r="F31" s="89">
        <f t="shared" si="8"/>
        <v>22</v>
      </c>
      <c r="G31" s="90" t="s">
        <v>123</v>
      </c>
      <c r="H31" s="102" t="s">
        <v>151</v>
      </c>
      <c r="I31" s="90" t="s">
        <v>60</v>
      </c>
      <c r="J31" s="93" t="b">
        <v>0</v>
      </c>
      <c r="K31" s="89"/>
      <c r="L31" s="89"/>
      <c r="M31" s="107" t="s">
        <v>147</v>
      </c>
      <c r="N31" s="107" t="s">
        <v>126</v>
      </c>
      <c r="O31" s="95"/>
      <c r="P31" s="95"/>
      <c r="Q31" s="95"/>
      <c r="R31" s="95"/>
      <c r="S31" s="95"/>
      <c r="T31" s="95"/>
      <c r="U31" s="95"/>
      <c r="V31" s="89" t="str">
        <f t="shared" si="5"/>
        <v/>
      </c>
      <c r="W31" s="89"/>
      <c r="X31" s="92"/>
      <c r="Y31" s="92"/>
      <c r="Z31" s="89"/>
      <c r="AA31" s="92"/>
      <c r="AB31" s="89"/>
      <c r="AC31" s="104"/>
      <c r="AD31" s="104"/>
      <c r="AE31" s="92"/>
      <c r="AF31" s="92"/>
      <c r="AG31" s="99"/>
      <c r="AH31" s="99"/>
    </row>
    <row r="32" ht="26.25" customHeight="1">
      <c r="B32" s="95"/>
      <c r="C32" s="95"/>
      <c r="D32" s="77"/>
      <c r="E32" s="101"/>
      <c r="F32" s="89">
        <f t="shared" si="8"/>
        <v>23</v>
      </c>
      <c r="G32" s="90" t="s">
        <v>123</v>
      </c>
      <c r="H32" s="102" t="s">
        <v>152</v>
      </c>
      <c r="I32" s="90" t="s">
        <v>70</v>
      </c>
      <c r="J32" s="93" t="b">
        <v>0</v>
      </c>
      <c r="K32" s="91" t="s">
        <v>153</v>
      </c>
      <c r="L32" s="89"/>
      <c r="M32" s="107" t="s">
        <v>147</v>
      </c>
      <c r="N32" s="107" t="s">
        <v>126</v>
      </c>
      <c r="O32" s="95"/>
      <c r="P32" s="95"/>
      <c r="Q32" s="95"/>
      <c r="R32" s="95"/>
      <c r="S32" s="95"/>
      <c r="T32" s="95"/>
      <c r="U32" s="95"/>
      <c r="V32" s="89" t="str">
        <f t="shared" si="5"/>
        <v/>
      </c>
      <c r="W32" s="89"/>
      <c r="X32" s="92"/>
      <c r="Y32" s="92"/>
      <c r="Z32" s="89"/>
      <c r="AA32" s="92"/>
      <c r="AB32" s="89"/>
      <c r="AC32" s="104"/>
      <c r="AD32" s="104"/>
      <c r="AE32" s="92"/>
      <c r="AF32" s="92"/>
      <c r="AG32" s="99"/>
      <c r="AH32" s="99"/>
    </row>
    <row r="33" ht="26.25" customHeight="1">
      <c r="B33" s="95"/>
      <c r="C33" s="95"/>
      <c r="D33" s="77"/>
      <c r="E33" s="101"/>
      <c r="F33" s="89">
        <f t="shared" si="8"/>
        <v>24</v>
      </c>
      <c r="G33" s="90" t="s">
        <v>123</v>
      </c>
      <c r="H33" s="102" t="s">
        <v>26</v>
      </c>
      <c r="I33" s="90" t="s">
        <v>74</v>
      </c>
      <c r="J33" s="93" t="b">
        <v>0</v>
      </c>
      <c r="K33" s="89"/>
      <c r="L33" s="89"/>
      <c r="M33" s="107" t="s">
        <v>147</v>
      </c>
      <c r="N33" s="107" t="s">
        <v>126</v>
      </c>
      <c r="O33" s="95"/>
      <c r="P33" s="95"/>
      <c r="Q33" s="95"/>
      <c r="R33" s="95"/>
      <c r="S33" s="95"/>
      <c r="T33" s="95"/>
      <c r="U33" s="95"/>
      <c r="V33" s="89" t="str">
        <f t="shared" si="5"/>
        <v/>
      </c>
      <c r="W33" s="89"/>
      <c r="X33" s="92"/>
      <c r="Y33" s="92"/>
      <c r="Z33" s="89"/>
      <c r="AA33" s="92"/>
      <c r="AB33" s="89"/>
      <c r="AC33" s="104"/>
      <c r="AD33" s="104"/>
      <c r="AE33" s="92"/>
      <c r="AF33" s="92"/>
      <c r="AG33" s="99"/>
      <c r="AH33" s="99"/>
    </row>
    <row r="34" ht="26.25" customHeight="1">
      <c r="B34" s="95"/>
      <c r="C34" s="95"/>
      <c r="D34" s="77"/>
      <c r="E34" s="101"/>
      <c r="F34" s="89">
        <f>IF(G34="","",ROW()-6)</f>
        <v>28</v>
      </c>
      <c r="G34" s="111" t="s">
        <v>123</v>
      </c>
      <c r="H34" s="102" t="s">
        <v>154</v>
      </c>
      <c r="I34" s="90" t="s">
        <v>76</v>
      </c>
      <c r="J34" s="93" t="b">
        <v>0</v>
      </c>
      <c r="K34" s="89"/>
      <c r="L34" s="89"/>
      <c r="M34" s="107" t="s">
        <v>147</v>
      </c>
      <c r="N34" s="107" t="s">
        <v>126</v>
      </c>
      <c r="O34" s="95"/>
      <c r="P34" s="95"/>
      <c r="Q34" s="95"/>
      <c r="R34" s="95"/>
      <c r="S34" s="95"/>
      <c r="T34" s="95"/>
      <c r="U34" s="95"/>
      <c r="V34" s="89" t="str">
        <f t="shared" si="5"/>
        <v/>
      </c>
      <c r="W34" s="89"/>
      <c r="X34" s="92"/>
      <c r="Y34" s="92"/>
      <c r="Z34" s="89"/>
      <c r="AA34" s="92"/>
      <c r="AB34" s="89"/>
      <c r="AC34" s="104"/>
      <c r="AD34" s="104"/>
      <c r="AE34" s="92"/>
      <c r="AF34" s="92"/>
      <c r="AG34" s="99"/>
      <c r="AH34" s="99"/>
    </row>
    <row r="35" ht="26.25" customHeight="1">
      <c r="B35" s="95"/>
      <c r="C35" s="95"/>
      <c r="D35" s="77"/>
      <c r="E35" s="101"/>
      <c r="F35" s="89">
        <f t="shared" ref="F35:F49" si="9">IF(G35="","",ROW()-9)</f>
        <v>26</v>
      </c>
      <c r="G35" s="90" t="s">
        <v>106</v>
      </c>
      <c r="H35" s="102" t="s">
        <v>155</v>
      </c>
      <c r="I35" s="90" t="s">
        <v>60</v>
      </c>
      <c r="J35" s="93" t="b">
        <v>1</v>
      </c>
      <c r="K35" s="89"/>
      <c r="L35" s="91" t="s">
        <v>156</v>
      </c>
      <c r="M35" s="107" t="s">
        <v>157</v>
      </c>
      <c r="N35" s="107" t="s">
        <v>158</v>
      </c>
      <c r="O35" s="95"/>
      <c r="P35" s="95"/>
      <c r="Q35" s="95"/>
      <c r="R35" s="95"/>
      <c r="S35" s="95"/>
      <c r="T35" s="95"/>
      <c r="U35" s="95"/>
      <c r="V35" s="89" t="str">
        <f t="shared" si="5"/>
        <v/>
      </c>
      <c r="W35" s="89"/>
      <c r="X35" s="92"/>
      <c r="Y35" s="92"/>
      <c r="Z35" s="89"/>
      <c r="AA35" s="92"/>
      <c r="AB35" s="89"/>
      <c r="AC35" s="104"/>
      <c r="AD35" s="104"/>
      <c r="AE35" s="92"/>
      <c r="AF35" s="92"/>
      <c r="AG35" s="99"/>
      <c r="AH35" s="99"/>
    </row>
    <row r="36" ht="26.25" customHeight="1">
      <c r="B36" s="95"/>
      <c r="C36" s="95"/>
      <c r="D36" s="77"/>
      <c r="E36" s="101"/>
      <c r="F36" s="89">
        <f t="shared" si="9"/>
        <v>27</v>
      </c>
      <c r="G36" s="90" t="s">
        <v>106</v>
      </c>
      <c r="H36" s="102" t="s">
        <v>159</v>
      </c>
      <c r="I36" s="90" t="s">
        <v>49</v>
      </c>
      <c r="J36" s="93" t="b">
        <v>1</v>
      </c>
      <c r="K36" s="94" t="s">
        <v>160</v>
      </c>
      <c r="L36" s="89"/>
      <c r="M36" s="107" t="s">
        <v>157</v>
      </c>
      <c r="N36" s="107" t="s">
        <v>158</v>
      </c>
      <c r="O36" s="95"/>
      <c r="P36" s="95"/>
      <c r="Q36" s="95"/>
      <c r="R36" s="95"/>
      <c r="S36" s="95"/>
      <c r="T36" s="95"/>
      <c r="U36" s="95"/>
      <c r="V36" s="89" t="str">
        <f t="shared" si="5"/>
        <v/>
      </c>
      <c r="W36" s="89"/>
      <c r="X36" s="92"/>
      <c r="Y36" s="92"/>
      <c r="Z36" s="89"/>
      <c r="AA36" s="92"/>
      <c r="AB36" s="89"/>
      <c r="AC36" s="104"/>
      <c r="AD36" s="104"/>
      <c r="AE36" s="92"/>
      <c r="AF36" s="92"/>
      <c r="AG36" s="99"/>
      <c r="AH36" s="99"/>
    </row>
    <row r="37" ht="26.25" customHeight="1">
      <c r="B37" s="95"/>
      <c r="C37" s="95"/>
      <c r="D37" s="77"/>
      <c r="E37" s="101"/>
      <c r="F37" s="89">
        <f t="shared" si="9"/>
        <v>28</v>
      </c>
      <c r="G37" s="90" t="s">
        <v>106</v>
      </c>
      <c r="H37" s="102" t="s">
        <v>161</v>
      </c>
      <c r="I37" s="90" t="s">
        <v>76</v>
      </c>
      <c r="J37" s="93" t="b">
        <v>0</v>
      </c>
      <c r="K37" s="91" t="s">
        <v>162</v>
      </c>
      <c r="L37" s="89"/>
      <c r="M37" s="107" t="s">
        <v>157</v>
      </c>
      <c r="N37" s="107" t="s">
        <v>158</v>
      </c>
      <c r="O37" s="95"/>
      <c r="P37" s="95"/>
      <c r="Q37" s="95"/>
      <c r="R37" s="95"/>
      <c r="S37" s="95"/>
      <c r="T37" s="95"/>
      <c r="U37" s="95"/>
      <c r="V37" s="89" t="str">
        <f t="shared" si="5"/>
        <v/>
      </c>
      <c r="W37" s="89"/>
      <c r="X37" s="92"/>
      <c r="Y37" s="92"/>
      <c r="Z37" s="89"/>
      <c r="AA37" s="92"/>
      <c r="AB37" s="89"/>
      <c r="AC37" s="104"/>
      <c r="AD37" s="104"/>
      <c r="AE37" s="92"/>
      <c r="AF37" s="92"/>
      <c r="AG37" s="99"/>
      <c r="AH37" s="99"/>
    </row>
    <row r="38" ht="26.25" customHeight="1">
      <c r="B38" s="95"/>
      <c r="C38" s="95"/>
      <c r="D38" s="77"/>
      <c r="E38" s="101"/>
      <c r="F38" s="89">
        <f t="shared" si="9"/>
        <v>29</v>
      </c>
      <c r="G38" s="90" t="s">
        <v>106</v>
      </c>
      <c r="H38" s="106" t="s">
        <v>163</v>
      </c>
      <c r="I38" s="90" t="s">
        <v>74</v>
      </c>
      <c r="J38" s="93" t="b">
        <v>0</v>
      </c>
      <c r="K38" s="91" t="s">
        <v>164</v>
      </c>
      <c r="L38" s="89"/>
      <c r="M38" s="107" t="s">
        <v>157</v>
      </c>
      <c r="N38" s="107" t="s">
        <v>158</v>
      </c>
      <c r="O38" s="95"/>
      <c r="P38" s="95"/>
      <c r="Q38" s="95"/>
      <c r="R38" s="95"/>
      <c r="S38" s="95"/>
      <c r="T38" s="95"/>
      <c r="U38" s="95"/>
      <c r="V38" s="89" t="str">
        <f t="shared" si="5"/>
        <v/>
      </c>
      <c r="W38" s="89"/>
      <c r="X38" s="92"/>
      <c r="Y38" s="92"/>
      <c r="Z38" s="89"/>
      <c r="AA38" s="92"/>
      <c r="AB38" s="89"/>
      <c r="AC38" s="104"/>
      <c r="AD38" s="104"/>
      <c r="AE38" s="92"/>
      <c r="AF38" s="92"/>
      <c r="AG38" s="99"/>
      <c r="AH38" s="99"/>
    </row>
    <row r="39" ht="26.25" customHeight="1">
      <c r="B39" s="95"/>
      <c r="C39" s="95"/>
      <c r="D39" s="77"/>
      <c r="E39" s="101"/>
      <c r="F39" s="89">
        <f t="shared" si="9"/>
        <v>30</v>
      </c>
      <c r="G39" s="90" t="s">
        <v>106</v>
      </c>
      <c r="H39" s="102" t="s">
        <v>165</v>
      </c>
      <c r="I39" s="90" t="s">
        <v>114</v>
      </c>
      <c r="J39" s="93" t="b">
        <v>0</v>
      </c>
      <c r="K39" s="89"/>
      <c r="L39" s="89"/>
      <c r="M39" s="107" t="s">
        <v>157</v>
      </c>
      <c r="N39" s="107" t="s">
        <v>158</v>
      </c>
      <c r="O39" s="95"/>
      <c r="P39" s="95"/>
      <c r="Q39" s="95"/>
      <c r="R39" s="95"/>
      <c r="S39" s="95"/>
      <c r="T39" s="95"/>
      <c r="U39" s="95"/>
      <c r="V39" s="89" t="str">
        <f t="shared" si="5"/>
        <v/>
      </c>
      <c r="W39" s="89"/>
      <c r="X39" s="92"/>
      <c r="Y39" s="92"/>
      <c r="Z39" s="89"/>
      <c r="AA39" s="92"/>
      <c r="AB39" s="89"/>
      <c r="AC39" s="104"/>
      <c r="AD39" s="104"/>
      <c r="AE39" s="92"/>
      <c r="AF39" s="92"/>
      <c r="AG39" s="99"/>
      <c r="AH39" s="99"/>
    </row>
    <row r="40" ht="26.25" customHeight="1">
      <c r="B40" s="95"/>
      <c r="C40" s="95"/>
      <c r="D40" s="77"/>
      <c r="E40" s="101"/>
      <c r="F40" s="89">
        <f t="shared" si="9"/>
        <v>31</v>
      </c>
      <c r="G40" s="90" t="s">
        <v>106</v>
      </c>
      <c r="H40" s="102" t="s">
        <v>166</v>
      </c>
      <c r="I40" s="90" t="s">
        <v>60</v>
      </c>
      <c r="J40" s="93" t="b">
        <v>0</v>
      </c>
      <c r="K40" s="91" t="s">
        <v>167</v>
      </c>
      <c r="L40" s="91" t="s">
        <v>168</v>
      </c>
      <c r="M40" s="107" t="s">
        <v>157</v>
      </c>
      <c r="N40" s="107" t="s">
        <v>158</v>
      </c>
      <c r="O40" s="95"/>
      <c r="P40" s="95"/>
      <c r="Q40" s="95"/>
      <c r="R40" s="95"/>
      <c r="S40" s="95"/>
      <c r="T40" s="95"/>
      <c r="U40" s="95"/>
      <c r="V40" s="89" t="str">
        <f t="shared" si="5"/>
        <v/>
      </c>
      <c r="W40" s="89"/>
      <c r="X40" s="92"/>
      <c r="Y40" s="92"/>
      <c r="Z40" s="89"/>
      <c r="AA40" s="92"/>
      <c r="AB40" s="89"/>
      <c r="AC40" s="104"/>
      <c r="AD40" s="104"/>
      <c r="AE40" s="92"/>
      <c r="AF40" s="92"/>
      <c r="AG40" s="99"/>
      <c r="AH40" s="99"/>
    </row>
    <row r="41" ht="26.25" customHeight="1">
      <c r="B41" s="95"/>
      <c r="C41" s="95"/>
      <c r="D41" s="77"/>
      <c r="E41" s="101"/>
      <c r="F41" s="89">
        <f t="shared" si="9"/>
        <v>32</v>
      </c>
      <c r="G41" s="90" t="s">
        <v>106</v>
      </c>
      <c r="H41" s="102" t="s">
        <v>169</v>
      </c>
      <c r="I41" s="90" t="s">
        <v>60</v>
      </c>
      <c r="J41" s="93" t="b">
        <v>0</v>
      </c>
      <c r="K41" s="89"/>
      <c r="L41" s="89"/>
      <c r="M41" s="107" t="s">
        <v>157</v>
      </c>
      <c r="N41" s="107" t="s">
        <v>158</v>
      </c>
      <c r="O41" s="95"/>
      <c r="P41" s="95"/>
      <c r="Q41" s="95"/>
      <c r="R41" s="95"/>
      <c r="S41" s="95"/>
      <c r="T41" s="95"/>
      <c r="U41" s="95"/>
      <c r="V41" s="89" t="str">
        <f t="shared" si="5"/>
        <v/>
      </c>
      <c r="W41" s="89"/>
      <c r="X41" s="92"/>
      <c r="Y41" s="92"/>
      <c r="Z41" s="89"/>
      <c r="AA41" s="92"/>
      <c r="AB41" s="89"/>
      <c r="AC41" s="104"/>
      <c r="AD41" s="104"/>
      <c r="AE41" s="92"/>
      <c r="AF41" s="92"/>
      <c r="AG41" s="99"/>
      <c r="AH41" s="99"/>
    </row>
    <row r="42" ht="26.25" customHeight="1">
      <c r="B42" s="95"/>
      <c r="C42" s="95"/>
      <c r="D42" s="77"/>
      <c r="E42" s="101"/>
      <c r="F42" s="89">
        <f t="shared" si="9"/>
        <v>33</v>
      </c>
      <c r="G42" s="90" t="s">
        <v>106</v>
      </c>
      <c r="H42" s="102" t="s">
        <v>170</v>
      </c>
      <c r="I42" s="90" t="s">
        <v>60</v>
      </c>
      <c r="J42" s="93" t="b">
        <v>0</v>
      </c>
      <c r="K42" s="89"/>
      <c r="L42" s="91" t="s">
        <v>171</v>
      </c>
      <c r="M42" s="107" t="s">
        <v>157</v>
      </c>
      <c r="N42" s="107" t="s">
        <v>158</v>
      </c>
      <c r="O42" s="95"/>
      <c r="P42" s="95"/>
      <c r="Q42" s="95"/>
      <c r="R42" s="95"/>
      <c r="S42" s="95"/>
      <c r="T42" s="95"/>
      <c r="U42" s="95"/>
      <c r="V42" s="89" t="str">
        <f t="shared" si="5"/>
        <v/>
      </c>
      <c r="W42" s="89"/>
      <c r="X42" s="92"/>
      <c r="Y42" s="92"/>
      <c r="Z42" s="89"/>
      <c r="AA42" s="92"/>
      <c r="AB42" s="89"/>
      <c r="AC42" s="104"/>
      <c r="AD42" s="104"/>
      <c r="AE42" s="92"/>
      <c r="AF42" s="92"/>
      <c r="AG42" s="99"/>
      <c r="AH42" s="99"/>
    </row>
    <row r="43" ht="26.25" customHeight="1">
      <c r="B43" s="95"/>
      <c r="C43" s="95"/>
      <c r="D43" s="77"/>
      <c r="E43" s="101"/>
      <c r="F43" s="89">
        <f t="shared" si="9"/>
        <v>34</v>
      </c>
      <c r="G43" s="90" t="s">
        <v>106</v>
      </c>
      <c r="H43" s="102" t="s">
        <v>172</v>
      </c>
      <c r="I43" s="90" t="s">
        <v>49</v>
      </c>
      <c r="J43" s="93" t="b">
        <v>0</v>
      </c>
      <c r="K43" s="89"/>
      <c r="L43" s="91" t="s">
        <v>171</v>
      </c>
      <c r="M43" s="107" t="s">
        <v>157</v>
      </c>
      <c r="N43" s="107" t="s">
        <v>158</v>
      </c>
      <c r="O43" s="95"/>
      <c r="P43" s="95"/>
      <c r="Q43" s="95"/>
      <c r="R43" s="95"/>
      <c r="S43" s="95"/>
      <c r="T43" s="95"/>
      <c r="U43" s="95"/>
      <c r="V43" s="89" t="str">
        <f t="shared" si="5"/>
        <v/>
      </c>
      <c r="W43" s="89"/>
      <c r="X43" s="92"/>
      <c r="Y43" s="92"/>
      <c r="Z43" s="89"/>
      <c r="AA43" s="92"/>
      <c r="AB43" s="89"/>
      <c r="AC43" s="104"/>
      <c r="AD43" s="104"/>
      <c r="AE43" s="92"/>
      <c r="AF43" s="92"/>
      <c r="AG43" s="99"/>
      <c r="AH43" s="99"/>
    </row>
    <row r="44" ht="26.25" customHeight="1">
      <c r="B44" s="95"/>
      <c r="C44" s="95"/>
      <c r="D44" s="77"/>
      <c r="E44" s="101"/>
      <c r="F44" s="89">
        <f t="shared" si="9"/>
        <v>35</v>
      </c>
      <c r="G44" s="90" t="s">
        <v>106</v>
      </c>
      <c r="H44" s="102" t="s">
        <v>173</v>
      </c>
      <c r="I44" s="90" t="s">
        <v>49</v>
      </c>
      <c r="J44" s="93" t="b">
        <v>0</v>
      </c>
      <c r="K44" s="91" t="s">
        <v>174</v>
      </c>
      <c r="L44" s="89"/>
      <c r="M44" s="107" t="s">
        <v>157</v>
      </c>
      <c r="N44" s="107" t="s">
        <v>158</v>
      </c>
      <c r="O44" s="95"/>
      <c r="P44" s="95"/>
      <c r="Q44" s="95"/>
      <c r="R44" s="95"/>
      <c r="S44" s="95"/>
      <c r="T44" s="95"/>
      <c r="U44" s="95"/>
      <c r="V44" s="89" t="str">
        <f t="shared" si="5"/>
        <v/>
      </c>
      <c r="W44" s="89"/>
      <c r="X44" s="92"/>
      <c r="Y44" s="92"/>
      <c r="Z44" s="89"/>
      <c r="AA44" s="92"/>
      <c r="AB44" s="89"/>
      <c r="AC44" s="104"/>
      <c r="AD44" s="104"/>
      <c r="AE44" s="92"/>
      <c r="AF44" s="92"/>
      <c r="AG44" s="99"/>
      <c r="AH44" s="99"/>
    </row>
    <row r="45" ht="26.25" customHeight="1">
      <c r="B45" s="95"/>
      <c r="C45" s="95"/>
      <c r="D45" s="77"/>
      <c r="E45" s="101"/>
      <c r="F45" s="89">
        <f t="shared" si="9"/>
        <v>36</v>
      </c>
      <c r="G45" s="90" t="s">
        <v>106</v>
      </c>
      <c r="H45" s="102" t="s">
        <v>175</v>
      </c>
      <c r="I45" s="90" t="s">
        <v>60</v>
      </c>
      <c r="J45" s="93" t="b">
        <v>0</v>
      </c>
      <c r="K45" s="89"/>
      <c r="L45" s="91" t="s">
        <v>176</v>
      </c>
      <c r="M45" s="107" t="s">
        <v>157</v>
      </c>
      <c r="N45" s="107" t="s">
        <v>158</v>
      </c>
      <c r="O45" s="95"/>
      <c r="P45" s="95"/>
      <c r="Q45" s="95"/>
      <c r="R45" s="95"/>
      <c r="S45" s="95"/>
      <c r="T45" s="95"/>
      <c r="U45" s="95"/>
      <c r="V45" s="89" t="str">
        <f t="shared" si="5"/>
        <v/>
      </c>
      <c r="W45" s="89"/>
      <c r="X45" s="92"/>
      <c r="Y45" s="92"/>
      <c r="Z45" s="89"/>
      <c r="AA45" s="92"/>
      <c r="AB45" s="89"/>
      <c r="AC45" s="104"/>
      <c r="AD45" s="104"/>
      <c r="AE45" s="92"/>
      <c r="AF45" s="92"/>
      <c r="AG45" s="99"/>
      <c r="AH45" s="99"/>
    </row>
    <row r="46" ht="26.25" customHeight="1">
      <c r="B46" s="95"/>
      <c r="C46" s="95"/>
      <c r="D46" s="77"/>
      <c r="E46" s="101"/>
      <c r="F46" s="89">
        <f t="shared" si="9"/>
        <v>37</v>
      </c>
      <c r="G46" s="90" t="s">
        <v>128</v>
      </c>
      <c r="H46" s="102" t="s">
        <v>177</v>
      </c>
      <c r="I46" s="90" t="s">
        <v>70</v>
      </c>
      <c r="J46" s="93" t="b">
        <v>0</v>
      </c>
      <c r="K46" s="89"/>
      <c r="L46" s="89"/>
      <c r="M46" s="107" t="s">
        <v>91</v>
      </c>
      <c r="N46" s="107" t="s">
        <v>126</v>
      </c>
      <c r="O46" s="95"/>
      <c r="P46" s="95"/>
      <c r="Q46" s="95"/>
      <c r="R46" s="95"/>
      <c r="S46" s="95"/>
      <c r="T46" s="95"/>
      <c r="U46" s="95"/>
      <c r="V46" s="89" t="str">
        <f t="shared" si="5"/>
        <v/>
      </c>
      <c r="W46" s="89"/>
      <c r="X46" s="92"/>
      <c r="Y46" s="92"/>
      <c r="Z46" s="89"/>
      <c r="AA46" s="92"/>
      <c r="AB46" s="89"/>
      <c r="AC46" s="104"/>
      <c r="AD46" s="104"/>
      <c r="AE46" s="92"/>
      <c r="AF46" s="92"/>
      <c r="AG46" s="99"/>
      <c r="AH46" s="99"/>
    </row>
    <row r="47" ht="26.25" customHeight="1">
      <c r="B47" s="95"/>
      <c r="C47" s="95"/>
      <c r="D47" s="77"/>
      <c r="E47" s="101"/>
      <c r="F47" s="89">
        <f t="shared" si="9"/>
        <v>38</v>
      </c>
      <c r="G47" s="90" t="s">
        <v>128</v>
      </c>
      <c r="H47" s="102" t="s">
        <v>178</v>
      </c>
      <c r="I47" s="90" t="s">
        <v>49</v>
      </c>
      <c r="J47" s="93" t="b">
        <v>0</v>
      </c>
      <c r="K47" s="91" t="s">
        <v>179</v>
      </c>
      <c r="L47" s="89"/>
      <c r="M47" s="110"/>
      <c r="N47" s="107" t="s">
        <v>126</v>
      </c>
      <c r="O47" s="95"/>
      <c r="P47" s="95"/>
      <c r="Q47" s="95"/>
      <c r="R47" s="95"/>
      <c r="S47" s="95"/>
      <c r="T47" s="95"/>
      <c r="U47" s="95"/>
      <c r="V47" s="89" t="str">
        <f t="shared" si="5"/>
        <v/>
      </c>
      <c r="W47" s="89"/>
      <c r="X47" s="92"/>
      <c r="Y47" s="92"/>
      <c r="Z47" s="89"/>
      <c r="AA47" s="92"/>
      <c r="AB47" s="89"/>
      <c r="AC47" s="104"/>
      <c r="AD47" s="104"/>
      <c r="AE47" s="92"/>
      <c r="AF47" s="92"/>
      <c r="AG47" s="99"/>
      <c r="AH47" s="99"/>
    </row>
    <row r="48" ht="26.25" customHeight="1">
      <c r="B48" s="95"/>
      <c r="C48" s="95"/>
      <c r="D48" s="77"/>
      <c r="E48" s="101"/>
      <c r="F48" s="89">
        <f t="shared" si="9"/>
        <v>39</v>
      </c>
      <c r="G48" s="90" t="s">
        <v>128</v>
      </c>
      <c r="H48" s="102" t="s">
        <v>180</v>
      </c>
      <c r="I48" s="90" t="s">
        <v>181</v>
      </c>
      <c r="J48" s="93" t="b">
        <v>0</v>
      </c>
      <c r="K48" s="91" t="s">
        <v>182</v>
      </c>
      <c r="L48" s="89"/>
      <c r="M48" s="110"/>
      <c r="N48" s="107" t="s">
        <v>126</v>
      </c>
      <c r="O48" s="95"/>
      <c r="P48" s="95"/>
      <c r="Q48" s="95"/>
      <c r="R48" s="95"/>
      <c r="S48" s="95"/>
      <c r="T48" s="95"/>
      <c r="U48" s="95"/>
      <c r="V48" s="89" t="str">
        <f t="shared" si="5"/>
        <v/>
      </c>
      <c r="W48" s="89"/>
      <c r="X48" s="92"/>
      <c r="Y48" s="92"/>
      <c r="Z48" s="89"/>
      <c r="AA48" s="92"/>
      <c r="AB48" s="89"/>
      <c r="AC48" s="104"/>
      <c r="AD48" s="104"/>
      <c r="AE48" s="92"/>
      <c r="AF48" s="92"/>
      <c r="AG48" s="99"/>
      <c r="AH48" s="99"/>
    </row>
    <row r="49" ht="26.25" customHeight="1">
      <c r="B49" s="95"/>
      <c r="C49" s="95"/>
      <c r="D49" s="77"/>
      <c r="E49" s="101"/>
      <c r="F49" s="89">
        <f t="shared" si="9"/>
        <v>40</v>
      </c>
      <c r="G49" s="90" t="s">
        <v>128</v>
      </c>
      <c r="H49" s="102" t="s">
        <v>154</v>
      </c>
      <c r="I49" s="90" t="s">
        <v>49</v>
      </c>
      <c r="J49" s="93" t="b">
        <v>0</v>
      </c>
      <c r="K49" s="91" t="s">
        <v>183</v>
      </c>
      <c r="L49" s="89"/>
      <c r="M49" s="110"/>
      <c r="N49" s="107" t="s">
        <v>126</v>
      </c>
      <c r="O49" s="95"/>
      <c r="P49" s="95"/>
      <c r="Q49" s="95"/>
      <c r="R49" s="95"/>
      <c r="S49" s="95"/>
      <c r="T49" s="95"/>
      <c r="U49" s="95"/>
      <c r="V49" s="89" t="str">
        <f t="shared" si="5"/>
        <v/>
      </c>
      <c r="W49" s="89"/>
      <c r="X49" s="92"/>
      <c r="Y49" s="92"/>
      <c r="Z49" s="89"/>
      <c r="AA49" s="92"/>
      <c r="AB49" s="89"/>
      <c r="AC49" s="104"/>
      <c r="AD49" s="104"/>
      <c r="AE49" s="92"/>
      <c r="AF49" s="92"/>
      <c r="AG49" s="99"/>
      <c r="AH49" s="99"/>
    </row>
    <row r="50" ht="26.25" customHeight="1">
      <c r="B50" s="95"/>
      <c r="C50" s="95"/>
      <c r="D50" s="77"/>
      <c r="E50" s="101"/>
      <c r="F50" s="89">
        <f t="shared" ref="F50:F54" si="10">IF(G50="","",ROW()-6)</f>
        <v>44</v>
      </c>
      <c r="G50" s="90" t="s">
        <v>128</v>
      </c>
      <c r="H50" s="102" t="s">
        <v>184</v>
      </c>
      <c r="I50" s="90" t="s">
        <v>74</v>
      </c>
      <c r="J50" s="93" t="b">
        <v>0</v>
      </c>
      <c r="K50" s="89"/>
      <c r="L50" s="89"/>
      <c r="M50" s="110"/>
      <c r="N50" s="107" t="s">
        <v>126</v>
      </c>
      <c r="O50" s="95"/>
      <c r="P50" s="95"/>
      <c r="Q50" s="95"/>
      <c r="R50" s="95"/>
      <c r="S50" s="95"/>
      <c r="T50" s="95"/>
      <c r="U50" s="95"/>
      <c r="V50" s="89" t="str">
        <f t="shared" si="5"/>
        <v/>
      </c>
      <c r="W50" s="89"/>
      <c r="X50" s="92"/>
      <c r="Y50" s="92"/>
      <c r="Z50" s="89"/>
      <c r="AA50" s="92"/>
      <c r="AB50" s="89"/>
      <c r="AC50" s="104"/>
      <c r="AD50" s="104"/>
      <c r="AE50" s="92"/>
      <c r="AF50" s="92"/>
      <c r="AG50" s="99"/>
      <c r="AH50" s="99"/>
    </row>
    <row r="51" ht="26.25" customHeight="1">
      <c r="B51" s="95"/>
      <c r="C51" s="95"/>
      <c r="D51" s="77"/>
      <c r="E51" s="101"/>
      <c r="F51" s="89">
        <f t="shared" si="10"/>
        <v>45</v>
      </c>
      <c r="G51" s="90" t="s">
        <v>128</v>
      </c>
      <c r="H51" s="102" t="s">
        <v>185</v>
      </c>
      <c r="I51" s="90" t="s">
        <v>108</v>
      </c>
      <c r="J51" s="93" t="b">
        <v>0</v>
      </c>
      <c r="K51" s="89"/>
      <c r="L51" s="89"/>
      <c r="M51" s="110"/>
      <c r="N51" s="107" t="s">
        <v>126</v>
      </c>
      <c r="O51" s="95"/>
      <c r="P51" s="95"/>
      <c r="Q51" s="95"/>
      <c r="R51" s="95"/>
      <c r="S51" s="95"/>
      <c r="T51" s="95"/>
      <c r="U51" s="95"/>
      <c r="V51" s="89" t="str">
        <f t="shared" si="5"/>
        <v/>
      </c>
      <c r="W51" s="89"/>
      <c r="X51" s="92"/>
      <c r="Y51" s="92"/>
      <c r="Z51" s="89"/>
      <c r="AA51" s="92"/>
      <c r="AB51" s="89"/>
      <c r="AC51" s="104"/>
      <c r="AD51" s="104"/>
      <c r="AE51" s="92"/>
      <c r="AF51" s="92"/>
      <c r="AG51" s="99"/>
      <c r="AH51" s="99"/>
    </row>
    <row r="52" ht="26.25" customHeight="1">
      <c r="B52" s="95"/>
      <c r="C52" s="95"/>
      <c r="D52" s="77"/>
      <c r="E52" s="101"/>
      <c r="F52" s="89">
        <f t="shared" si="10"/>
        <v>46</v>
      </c>
      <c r="G52" s="90" t="s">
        <v>128</v>
      </c>
      <c r="H52" s="102" t="s">
        <v>186</v>
      </c>
      <c r="I52" s="90" t="s">
        <v>108</v>
      </c>
      <c r="J52" s="93" t="b">
        <v>0</v>
      </c>
      <c r="K52" s="89"/>
      <c r="L52" s="89"/>
      <c r="M52" s="110"/>
      <c r="N52" s="107" t="s">
        <v>126</v>
      </c>
      <c r="O52" s="95"/>
      <c r="P52" s="95"/>
      <c r="Q52" s="95"/>
      <c r="R52" s="95"/>
      <c r="S52" s="95"/>
      <c r="T52" s="95"/>
      <c r="U52" s="95"/>
      <c r="V52" s="89" t="str">
        <f t="shared" si="5"/>
        <v/>
      </c>
      <c r="W52" s="89"/>
      <c r="X52" s="92"/>
      <c r="Y52" s="92"/>
      <c r="Z52" s="89"/>
      <c r="AA52" s="92"/>
      <c r="AB52" s="89"/>
      <c r="AC52" s="104"/>
      <c r="AD52" s="104"/>
      <c r="AE52" s="92"/>
      <c r="AF52" s="92"/>
      <c r="AG52" s="99"/>
      <c r="AH52" s="99"/>
    </row>
    <row r="53" ht="26.25" customHeight="1">
      <c r="B53" s="95"/>
      <c r="C53" s="95"/>
      <c r="D53" s="77"/>
      <c r="E53" s="101"/>
      <c r="F53" s="89">
        <f t="shared" si="10"/>
        <v>47</v>
      </c>
      <c r="G53" s="90" t="s">
        <v>128</v>
      </c>
      <c r="H53" s="102" t="s">
        <v>187</v>
      </c>
      <c r="I53" s="90" t="s">
        <v>114</v>
      </c>
      <c r="J53" s="93" t="b">
        <v>0</v>
      </c>
      <c r="K53" s="89"/>
      <c r="L53" s="89"/>
      <c r="M53" s="110"/>
      <c r="N53" s="107" t="s">
        <v>126</v>
      </c>
      <c r="O53" s="95"/>
      <c r="P53" s="95"/>
      <c r="Q53" s="95"/>
      <c r="R53" s="95"/>
      <c r="S53" s="95"/>
      <c r="T53" s="95"/>
      <c r="U53" s="95"/>
      <c r="V53" s="89" t="str">
        <f t="shared" si="5"/>
        <v/>
      </c>
      <c r="W53" s="89"/>
      <c r="X53" s="92"/>
      <c r="Y53" s="92"/>
      <c r="Z53" s="89"/>
      <c r="AA53" s="92"/>
      <c r="AB53" s="89"/>
      <c r="AC53" s="104"/>
      <c r="AD53" s="104"/>
      <c r="AE53" s="92"/>
      <c r="AF53" s="92"/>
      <c r="AG53" s="99"/>
      <c r="AH53" s="99"/>
    </row>
    <row r="54" ht="26.25" customHeight="1">
      <c r="B54" s="95"/>
      <c r="C54" s="95"/>
      <c r="D54" s="77"/>
      <c r="E54" s="101"/>
      <c r="F54" s="89">
        <f t="shared" si="10"/>
        <v>48</v>
      </c>
      <c r="G54" s="90" t="s">
        <v>128</v>
      </c>
      <c r="H54" s="102" t="s">
        <v>188</v>
      </c>
      <c r="I54" s="90" t="s">
        <v>108</v>
      </c>
      <c r="J54" s="93" t="b">
        <v>0</v>
      </c>
      <c r="K54" s="91" t="s">
        <v>189</v>
      </c>
      <c r="L54" s="89"/>
      <c r="M54" s="110"/>
      <c r="N54" s="107" t="s">
        <v>126</v>
      </c>
      <c r="O54" s="95"/>
      <c r="P54" s="95"/>
      <c r="Q54" s="95"/>
      <c r="R54" s="95"/>
      <c r="S54" s="95"/>
      <c r="T54" s="95"/>
      <c r="U54" s="95"/>
      <c r="V54" s="89" t="str">
        <f t="shared" si="5"/>
        <v/>
      </c>
      <c r="W54" s="89"/>
      <c r="X54" s="92"/>
      <c r="Y54" s="92"/>
      <c r="Z54" s="89"/>
      <c r="AA54" s="92"/>
      <c r="AB54" s="89"/>
      <c r="AC54" s="104"/>
      <c r="AD54" s="104"/>
      <c r="AE54" s="92"/>
      <c r="AF54" s="92"/>
      <c r="AG54" s="99"/>
      <c r="AH54" s="99"/>
    </row>
    <row r="55" ht="26.25" customHeight="1">
      <c r="B55" s="95"/>
      <c r="C55" s="95"/>
      <c r="D55" s="77"/>
      <c r="E55" s="101"/>
      <c r="F55" s="89">
        <f t="shared" ref="F55:F83" si="11">IF(G55="","",ROW()-9)</f>
        <v>46</v>
      </c>
      <c r="G55" s="90" t="s">
        <v>128</v>
      </c>
      <c r="H55" s="102" t="s">
        <v>190</v>
      </c>
      <c r="I55" s="90" t="s">
        <v>108</v>
      </c>
      <c r="J55" s="93" t="b">
        <v>0</v>
      </c>
      <c r="K55" s="100" t="s">
        <v>191</v>
      </c>
      <c r="L55" s="91" t="s">
        <v>192</v>
      </c>
      <c r="M55" s="119"/>
      <c r="N55" s="119"/>
      <c r="O55" s="95"/>
      <c r="P55" s="95"/>
      <c r="Q55" s="95"/>
      <c r="R55" s="95"/>
      <c r="S55" s="95"/>
      <c r="T55" s="95"/>
      <c r="U55" s="95"/>
      <c r="V55" s="89" t="str">
        <f t="shared" si="5"/>
        <v/>
      </c>
      <c r="W55" s="89"/>
      <c r="X55" s="92"/>
      <c r="Y55" s="92"/>
      <c r="Z55" s="89"/>
      <c r="AA55" s="92"/>
      <c r="AB55" s="89"/>
      <c r="AC55" s="104"/>
      <c r="AD55" s="104"/>
      <c r="AE55" s="92"/>
      <c r="AF55" s="92"/>
      <c r="AG55" s="99"/>
      <c r="AH55" s="99"/>
    </row>
    <row r="56" ht="26.25" customHeight="1">
      <c r="B56" s="95"/>
      <c r="C56" s="95"/>
      <c r="D56" s="77"/>
      <c r="E56" s="101"/>
      <c r="F56" s="89">
        <f t="shared" si="11"/>
        <v>47</v>
      </c>
      <c r="G56" s="90" t="s">
        <v>128</v>
      </c>
      <c r="H56" s="102" t="s">
        <v>193</v>
      </c>
      <c r="I56" s="90" t="s">
        <v>108</v>
      </c>
      <c r="J56" s="93" t="b">
        <v>0</v>
      </c>
      <c r="K56" s="91" t="s">
        <v>194</v>
      </c>
      <c r="L56" s="91" t="s">
        <v>195</v>
      </c>
      <c r="M56" s="107"/>
      <c r="N56" s="107"/>
      <c r="O56" s="95"/>
      <c r="P56" s="95"/>
      <c r="Q56" s="95"/>
      <c r="R56" s="95"/>
      <c r="S56" s="95"/>
      <c r="T56" s="95"/>
      <c r="U56" s="95"/>
      <c r="V56" s="89" t="str">
        <f t="shared" si="5"/>
        <v/>
      </c>
      <c r="W56" s="89"/>
      <c r="X56" s="92"/>
      <c r="Y56" s="92"/>
      <c r="Z56" s="89"/>
      <c r="AA56" s="92"/>
      <c r="AB56" s="89"/>
      <c r="AC56" s="104"/>
      <c r="AD56" s="104"/>
      <c r="AE56" s="92"/>
      <c r="AF56" s="92"/>
      <c r="AG56" s="99"/>
      <c r="AH56" s="99"/>
    </row>
    <row r="57" ht="26.25" customHeight="1">
      <c r="B57" s="95"/>
      <c r="C57" s="95"/>
      <c r="D57" s="77"/>
      <c r="E57" s="101"/>
      <c r="F57" s="89">
        <f t="shared" si="11"/>
        <v>48</v>
      </c>
      <c r="G57" s="90" t="s">
        <v>128</v>
      </c>
      <c r="H57" s="102" t="s">
        <v>196</v>
      </c>
      <c r="I57" s="90" t="s">
        <v>76</v>
      </c>
      <c r="J57" s="93" t="b">
        <v>0</v>
      </c>
      <c r="K57" s="91"/>
      <c r="L57" s="89"/>
      <c r="M57" s="110"/>
      <c r="N57" s="107" t="s">
        <v>126</v>
      </c>
      <c r="O57" s="95"/>
      <c r="P57" s="95"/>
      <c r="Q57" s="95"/>
      <c r="R57" s="95"/>
      <c r="S57" s="95"/>
      <c r="T57" s="95"/>
      <c r="U57" s="95"/>
      <c r="V57" s="89" t="str">
        <f t="shared" si="5"/>
        <v/>
      </c>
      <c r="W57" s="89"/>
      <c r="X57" s="92"/>
      <c r="Y57" s="92"/>
      <c r="Z57" s="89"/>
      <c r="AA57" s="92"/>
      <c r="AB57" s="89"/>
      <c r="AC57" s="104"/>
      <c r="AD57" s="104"/>
      <c r="AE57" s="92"/>
      <c r="AF57" s="92"/>
      <c r="AG57" s="99"/>
      <c r="AH57" s="99"/>
    </row>
    <row r="58" ht="26.25" customHeight="1">
      <c r="B58" s="95"/>
      <c r="C58" s="95"/>
      <c r="D58" s="77"/>
      <c r="E58" s="101"/>
      <c r="F58" s="89">
        <f t="shared" si="11"/>
        <v>49</v>
      </c>
      <c r="G58" s="120" t="s">
        <v>128</v>
      </c>
      <c r="H58" s="102" t="s">
        <v>197</v>
      </c>
      <c r="I58" s="90" t="s">
        <v>74</v>
      </c>
      <c r="J58" s="93" t="b">
        <v>0</v>
      </c>
      <c r="K58" s="89"/>
      <c r="L58" s="89"/>
      <c r="M58" s="110"/>
      <c r="N58" s="107" t="s">
        <v>126</v>
      </c>
      <c r="O58" s="95"/>
      <c r="P58" s="95"/>
      <c r="Q58" s="95"/>
      <c r="R58" s="95"/>
      <c r="S58" s="95"/>
      <c r="T58" s="95"/>
      <c r="U58" s="95"/>
      <c r="V58" s="89" t="str">
        <f t="shared" si="5"/>
        <v/>
      </c>
      <c r="W58" s="89"/>
      <c r="X58" s="92"/>
      <c r="Y58" s="92"/>
      <c r="Z58" s="89"/>
      <c r="AA58" s="92"/>
      <c r="AB58" s="89"/>
      <c r="AC58" s="104"/>
      <c r="AD58" s="104"/>
      <c r="AE58" s="92"/>
      <c r="AF58" s="92"/>
      <c r="AG58" s="99"/>
      <c r="AH58" s="99"/>
    </row>
    <row r="59" ht="26.25" customHeight="1">
      <c r="B59" s="95"/>
      <c r="C59" s="95"/>
      <c r="D59" s="77"/>
      <c r="E59" s="101"/>
      <c r="F59" s="89">
        <f t="shared" si="11"/>
        <v>50</v>
      </c>
      <c r="G59" s="90" t="s">
        <v>116</v>
      </c>
      <c r="H59" s="102" t="s">
        <v>198</v>
      </c>
      <c r="I59" s="90" t="s">
        <v>85</v>
      </c>
      <c r="J59" s="93" t="b">
        <v>1</v>
      </c>
      <c r="K59" s="121"/>
      <c r="L59" s="89"/>
      <c r="M59" s="107" t="s">
        <v>157</v>
      </c>
      <c r="N59" s="107" t="s">
        <v>126</v>
      </c>
      <c r="O59" s="95"/>
      <c r="P59" s="95"/>
      <c r="Q59" s="95"/>
      <c r="R59" s="95"/>
      <c r="S59" s="95"/>
      <c r="T59" s="95"/>
      <c r="U59" s="95"/>
      <c r="V59" s="89" t="str">
        <f t="shared" si="5"/>
        <v/>
      </c>
      <c r="W59" s="89"/>
      <c r="X59" s="92"/>
      <c r="Y59" s="92"/>
      <c r="Z59" s="89"/>
      <c r="AA59" s="92"/>
      <c r="AB59" s="89"/>
      <c r="AC59" s="104"/>
      <c r="AD59" s="104"/>
      <c r="AE59" s="92"/>
      <c r="AF59" s="92"/>
      <c r="AG59" s="99"/>
      <c r="AH59" s="99"/>
    </row>
    <row r="60" ht="26.25" customHeight="1">
      <c r="B60" s="95"/>
      <c r="C60" s="95"/>
      <c r="D60" s="77"/>
      <c r="E60" s="101"/>
      <c r="F60" s="89">
        <f t="shared" si="11"/>
        <v>51</v>
      </c>
      <c r="G60" s="90" t="s">
        <v>116</v>
      </c>
      <c r="H60" s="102" t="s">
        <v>199</v>
      </c>
      <c r="I60" s="90" t="s">
        <v>85</v>
      </c>
      <c r="J60" s="93" t="b">
        <v>0</v>
      </c>
      <c r="K60" s="89"/>
      <c r="L60" s="89"/>
      <c r="M60" s="107" t="s">
        <v>157</v>
      </c>
      <c r="N60" s="107" t="s">
        <v>126</v>
      </c>
      <c r="O60" s="95"/>
      <c r="P60" s="95"/>
      <c r="Q60" s="95"/>
      <c r="R60" s="95"/>
      <c r="S60" s="95"/>
      <c r="T60" s="95"/>
      <c r="U60" s="95"/>
      <c r="V60" s="89" t="str">
        <f t="shared" si="5"/>
        <v/>
      </c>
      <c r="W60" s="89"/>
      <c r="X60" s="92"/>
      <c r="Y60" s="92"/>
      <c r="Z60" s="89"/>
      <c r="AA60" s="92"/>
      <c r="AB60" s="89"/>
      <c r="AC60" s="104"/>
      <c r="AD60" s="104"/>
      <c r="AE60" s="92"/>
      <c r="AF60" s="92"/>
      <c r="AG60" s="99"/>
      <c r="AH60" s="99"/>
    </row>
    <row r="61" ht="26.25" customHeight="1">
      <c r="B61" s="95"/>
      <c r="C61" s="95"/>
      <c r="D61" s="77"/>
      <c r="E61" s="101"/>
      <c r="F61" s="89">
        <f t="shared" si="11"/>
        <v>52</v>
      </c>
      <c r="G61" s="90" t="s">
        <v>116</v>
      </c>
      <c r="H61" s="102" t="s">
        <v>200</v>
      </c>
      <c r="I61" s="90" t="s">
        <v>70</v>
      </c>
      <c r="J61" s="93" t="b">
        <v>0</v>
      </c>
      <c r="K61" s="89"/>
      <c r="L61" s="89"/>
      <c r="M61" s="107" t="s">
        <v>157</v>
      </c>
      <c r="N61" s="107" t="s">
        <v>126</v>
      </c>
      <c r="O61" s="95"/>
      <c r="P61" s="95"/>
      <c r="Q61" s="95"/>
      <c r="R61" s="95"/>
      <c r="S61" s="95"/>
      <c r="T61" s="95"/>
      <c r="U61" s="95"/>
      <c r="V61" s="89" t="str">
        <f t="shared" si="5"/>
        <v/>
      </c>
      <c r="W61" s="89"/>
      <c r="X61" s="92"/>
      <c r="Y61" s="92"/>
      <c r="Z61" s="89"/>
      <c r="AA61" s="92"/>
      <c r="AB61" s="89"/>
      <c r="AC61" s="104"/>
      <c r="AD61" s="104"/>
      <c r="AE61" s="92"/>
      <c r="AF61" s="92"/>
      <c r="AG61" s="99"/>
      <c r="AH61" s="99"/>
    </row>
    <row r="62" ht="26.25" customHeight="1">
      <c r="B62" s="95"/>
      <c r="C62" s="95"/>
      <c r="D62" s="77"/>
      <c r="E62" s="101"/>
      <c r="F62" s="89">
        <f t="shared" si="11"/>
        <v>53</v>
      </c>
      <c r="G62" s="90" t="s">
        <v>116</v>
      </c>
      <c r="H62" s="102" t="s">
        <v>84</v>
      </c>
      <c r="I62" s="90" t="s">
        <v>85</v>
      </c>
      <c r="J62" s="93" t="b">
        <v>0</v>
      </c>
      <c r="K62" s="89"/>
      <c r="L62" s="91" t="s">
        <v>201</v>
      </c>
      <c r="M62" s="107" t="s">
        <v>157</v>
      </c>
      <c r="N62" s="107" t="s">
        <v>126</v>
      </c>
      <c r="O62" s="95"/>
      <c r="P62" s="95"/>
      <c r="Q62" s="95"/>
      <c r="R62" s="95"/>
      <c r="S62" s="95"/>
      <c r="T62" s="95"/>
      <c r="U62" s="95"/>
      <c r="V62" s="89" t="str">
        <f t="shared" si="5"/>
        <v/>
      </c>
      <c r="W62" s="89"/>
      <c r="X62" s="92"/>
      <c r="Y62" s="92"/>
      <c r="Z62" s="89"/>
      <c r="AA62" s="92"/>
      <c r="AB62" s="89"/>
      <c r="AC62" s="104"/>
      <c r="AD62" s="104"/>
      <c r="AE62" s="92"/>
      <c r="AF62" s="92"/>
      <c r="AG62" s="99"/>
      <c r="AH62" s="99"/>
    </row>
    <row r="63" ht="26.25" customHeight="1">
      <c r="B63" s="95"/>
      <c r="C63" s="95"/>
      <c r="D63" s="77"/>
      <c r="E63" s="101"/>
      <c r="F63" s="89">
        <f t="shared" si="11"/>
        <v>54</v>
      </c>
      <c r="G63" s="90" t="s">
        <v>116</v>
      </c>
      <c r="H63" s="102" t="s">
        <v>202</v>
      </c>
      <c r="I63" s="90" t="s">
        <v>82</v>
      </c>
      <c r="J63" s="93" t="b">
        <v>0</v>
      </c>
      <c r="K63" s="89"/>
      <c r="L63" s="89"/>
      <c r="M63" s="107" t="s">
        <v>157</v>
      </c>
      <c r="N63" s="107" t="s">
        <v>126</v>
      </c>
      <c r="O63" s="95"/>
      <c r="P63" s="95"/>
      <c r="Q63" s="95"/>
      <c r="R63" s="95"/>
      <c r="S63" s="95"/>
      <c r="T63" s="95"/>
      <c r="U63" s="95"/>
      <c r="V63" s="89" t="str">
        <f t="shared" si="5"/>
        <v/>
      </c>
      <c r="W63" s="89"/>
      <c r="X63" s="92"/>
      <c r="Y63" s="92"/>
      <c r="Z63" s="89"/>
      <c r="AA63" s="92"/>
      <c r="AB63" s="89"/>
      <c r="AC63" s="104"/>
      <c r="AD63" s="104"/>
      <c r="AE63" s="92"/>
      <c r="AF63" s="92"/>
      <c r="AG63" s="99"/>
      <c r="AH63" s="99"/>
    </row>
    <row r="64" ht="26.25" customHeight="1">
      <c r="B64" s="95"/>
      <c r="C64" s="95"/>
      <c r="D64" s="77"/>
      <c r="E64" s="101"/>
      <c r="F64" s="89">
        <f t="shared" si="11"/>
        <v>55</v>
      </c>
      <c r="G64" s="90" t="s">
        <v>116</v>
      </c>
      <c r="H64" s="102" t="s">
        <v>203</v>
      </c>
      <c r="I64" s="90" t="s">
        <v>74</v>
      </c>
      <c r="J64" s="93" t="b">
        <v>1</v>
      </c>
      <c r="K64" s="89"/>
      <c r="L64" s="89"/>
      <c r="M64" s="107" t="s">
        <v>157</v>
      </c>
      <c r="N64" s="107" t="s">
        <v>126</v>
      </c>
      <c r="O64" s="95"/>
      <c r="P64" s="95"/>
      <c r="Q64" s="95"/>
      <c r="R64" s="95"/>
      <c r="S64" s="95"/>
      <c r="T64" s="95"/>
      <c r="U64" s="95"/>
      <c r="V64" s="89" t="str">
        <f t="shared" si="5"/>
        <v/>
      </c>
      <c r="W64" s="89"/>
      <c r="X64" s="92"/>
      <c r="Y64" s="92"/>
      <c r="Z64" s="89"/>
      <c r="AA64" s="92"/>
      <c r="AB64" s="89"/>
      <c r="AC64" s="104"/>
      <c r="AD64" s="104"/>
      <c r="AE64" s="92"/>
      <c r="AF64" s="92"/>
      <c r="AG64" s="99"/>
      <c r="AH64" s="99"/>
    </row>
    <row r="65" ht="26.25" customHeight="1">
      <c r="B65" s="95"/>
      <c r="C65" s="95"/>
      <c r="D65" s="77"/>
      <c r="E65" s="101"/>
      <c r="F65" s="89">
        <f t="shared" si="11"/>
        <v>56</v>
      </c>
      <c r="G65" s="90" t="s">
        <v>116</v>
      </c>
      <c r="H65" s="102" t="s">
        <v>204</v>
      </c>
      <c r="I65" s="90" t="s">
        <v>90</v>
      </c>
      <c r="J65" s="93" t="b">
        <v>0</v>
      </c>
      <c r="K65" s="89"/>
      <c r="L65" s="89"/>
      <c r="M65" s="107" t="s">
        <v>157</v>
      </c>
      <c r="N65" s="107" t="s">
        <v>205</v>
      </c>
      <c r="O65" s="95"/>
      <c r="P65" s="95"/>
      <c r="Q65" s="95"/>
      <c r="R65" s="95"/>
      <c r="S65" s="95"/>
      <c r="T65" s="95"/>
      <c r="U65" s="95"/>
      <c r="V65" s="89" t="str">
        <f t="shared" si="5"/>
        <v/>
      </c>
      <c r="W65" s="89"/>
      <c r="X65" s="92"/>
      <c r="Y65" s="92"/>
      <c r="Z65" s="89"/>
      <c r="AA65" s="92"/>
      <c r="AB65" s="89"/>
      <c r="AC65" s="104"/>
      <c r="AD65" s="104"/>
      <c r="AE65" s="92"/>
      <c r="AF65" s="92"/>
      <c r="AG65" s="99"/>
      <c r="AH65" s="99"/>
    </row>
    <row r="66" ht="26.25" customHeight="1">
      <c r="B66" s="95"/>
      <c r="C66" s="95"/>
      <c r="D66" s="77"/>
      <c r="E66" s="101"/>
      <c r="F66" s="89">
        <f t="shared" si="11"/>
        <v>57</v>
      </c>
      <c r="G66" s="90" t="s">
        <v>116</v>
      </c>
      <c r="H66" s="102" t="s">
        <v>206</v>
      </c>
      <c r="I66" s="90" t="s">
        <v>90</v>
      </c>
      <c r="J66" s="93" t="b">
        <v>0</v>
      </c>
      <c r="K66" s="89"/>
      <c r="L66" s="91" t="s">
        <v>207</v>
      </c>
      <c r="M66" s="107" t="s">
        <v>157</v>
      </c>
      <c r="N66" s="107" t="s">
        <v>126</v>
      </c>
      <c r="O66" s="95"/>
      <c r="P66" s="95"/>
      <c r="Q66" s="95"/>
      <c r="R66" s="95"/>
      <c r="S66" s="95"/>
      <c r="T66" s="95"/>
      <c r="U66" s="95"/>
      <c r="V66" s="89" t="str">
        <f t="shared" si="5"/>
        <v/>
      </c>
      <c r="W66" s="89"/>
      <c r="X66" s="92"/>
      <c r="Y66" s="92"/>
      <c r="Z66" s="89"/>
      <c r="AA66" s="92"/>
      <c r="AB66" s="89"/>
      <c r="AC66" s="104"/>
      <c r="AD66" s="104"/>
      <c r="AE66" s="92"/>
      <c r="AF66" s="92"/>
      <c r="AG66" s="99"/>
      <c r="AH66" s="99"/>
    </row>
    <row r="67" ht="26.25" customHeight="1">
      <c r="B67" s="95"/>
      <c r="C67" s="95"/>
      <c r="D67" s="77"/>
      <c r="E67" s="101"/>
      <c r="F67" s="89">
        <f t="shared" si="11"/>
        <v>58</v>
      </c>
      <c r="G67" s="90" t="s">
        <v>116</v>
      </c>
      <c r="H67" s="102" t="s">
        <v>208</v>
      </c>
      <c r="I67" s="90" t="s">
        <v>82</v>
      </c>
      <c r="J67" s="93" t="b">
        <v>0</v>
      </c>
      <c r="K67" s="89"/>
      <c r="L67" s="89"/>
      <c r="M67" s="107" t="s">
        <v>157</v>
      </c>
      <c r="N67" s="107" t="s">
        <v>126</v>
      </c>
      <c r="O67" s="95"/>
      <c r="P67" s="95"/>
      <c r="Q67" s="95"/>
      <c r="R67" s="95"/>
      <c r="S67" s="95"/>
      <c r="T67" s="95"/>
      <c r="U67" s="95"/>
      <c r="V67" s="89" t="str">
        <f t="shared" si="5"/>
        <v/>
      </c>
      <c r="W67" s="89"/>
      <c r="X67" s="92"/>
      <c r="Y67" s="92"/>
      <c r="Z67" s="89"/>
      <c r="AA67" s="92"/>
      <c r="AB67" s="89"/>
      <c r="AC67" s="104"/>
      <c r="AD67" s="104"/>
      <c r="AE67" s="92"/>
      <c r="AF67" s="92"/>
      <c r="AG67" s="99"/>
      <c r="AH67" s="99"/>
    </row>
    <row r="68" ht="26.25" customHeight="1">
      <c r="B68" s="95"/>
      <c r="C68" s="95"/>
      <c r="D68" s="77"/>
      <c r="E68" s="101"/>
      <c r="F68" s="89">
        <f t="shared" si="11"/>
        <v>59</v>
      </c>
      <c r="G68" s="90" t="s">
        <v>100</v>
      </c>
      <c r="H68" s="91" t="s">
        <v>209</v>
      </c>
      <c r="I68" s="90" t="s">
        <v>60</v>
      </c>
      <c r="J68" s="93" t="b">
        <v>1</v>
      </c>
      <c r="K68" s="89"/>
      <c r="L68" s="89"/>
      <c r="M68" s="107" t="s">
        <v>210</v>
      </c>
      <c r="N68" s="107" t="s">
        <v>211</v>
      </c>
      <c r="O68" s="95"/>
      <c r="P68" s="95"/>
      <c r="Q68" s="95"/>
      <c r="R68" s="95"/>
      <c r="S68" s="95"/>
      <c r="T68" s="95"/>
      <c r="U68" s="95"/>
      <c r="V68" s="89" t="str">
        <f t="shared" si="5"/>
        <v/>
      </c>
      <c r="W68" s="89"/>
      <c r="X68" s="92"/>
      <c r="Y68" s="92"/>
      <c r="Z68" s="89"/>
      <c r="AA68" s="92"/>
      <c r="AB68" s="89"/>
      <c r="AC68" s="104"/>
      <c r="AD68" s="104"/>
      <c r="AE68" s="92"/>
      <c r="AF68" s="92"/>
      <c r="AG68" s="99"/>
      <c r="AH68" s="99"/>
    </row>
    <row r="69" ht="26.25" customHeight="1">
      <c r="B69" s="95"/>
      <c r="C69" s="95"/>
      <c r="D69" s="77"/>
      <c r="E69" s="101"/>
      <c r="F69" s="89">
        <f t="shared" si="11"/>
        <v>60</v>
      </c>
      <c r="G69" s="90" t="s">
        <v>100</v>
      </c>
      <c r="H69" s="102" t="s">
        <v>66</v>
      </c>
      <c r="I69" s="90" t="s">
        <v>60</v>
      </c>
      <c r="J69" s="93" t="b">
        <v>1</v>
      </c>
      <c r="K69" s="89"/>
      <c r="L69" s="89"/>
      <c r="M69" s="107" t="s">
        <v>210</v>
      </c>
      <c r="N69" s="107" t="s">
        <v>211</v>
      </c>
      <c r="O69" s="95"/>
      <c r="P69" s="95"/>
      <c r="Q69" s="95"/>
      <c r="R69" s="95"/>
      <c r="S69" s="95"/>
      <c r="T69" s="95"/>
      <c r="U69" s="95"/>
      <c r="V69" s="89" t="str">
        <f t="shared" si="5"/>
        <v/>
      </c>
      <c r="W69" s="89"/>
      <c r="X69" s="92"/>
      <c r="Y69" s="92"/>
      <c r="Z69" s="89"/>
      <c r="AA69" s="92"/>
      <c r="AB69" s="89"/>
      <c r="AC69" s="104"/>
      <c r="AD69" s="104"/>
      <c r="AE69" s="92"/>
      <c r="AF69" s="92"/>
      <c r="AG69" s="99"/>
      <c r="AH69" s="99"/>
    </row>
    <row r="70" ht="26.25" customHeight="1">
      <c r="B70" s="95"/>
      <c r="C70" s="95"/>
      <c r="D70" s="77"/>
      <c r="E70" s="101"/>
      <c r="F70" s="89">
        <f t="shared" si="11"/>
        <v>61</v>
      </c>
      <c r="G70" s="90" t="s">
        <v>100</v>
      </c>
      <c r="H70" s="102" t="s">
        <v>212</v>
      </c>
      <c r="I70" s="90" t="s">
        <v>108</v>
      </c>
      <c r="J70" s="93" t="b">
        <v>0</v>
      </c>
      <c r="K70" s="89"/>
      <c r="L70" s="89"/>
      <c r="M70" s="107" t="s">
        <v>210</v>
      </c>
      <c r="N70" s="107" t="s">
        <v>211</v>
      </c>
      <c r="O70" s="95"/>
      <c r="P70" s="95"/>
      <c r="Q70" s="95"/>
      <c r="R70" s="95"/>
      <c r="S70" s="95"/>
      <c r="T70" s="95"/>
      <c r="U70" s="95"/>
      <c r="V70" s="89" t="str">
        <f t="shared" si="5"/>
        <v/>
      </c>
      <c r="W70" s="89"/>
      <c r="X70" s="92"/>
      <c r="Y70" s="92"/>
      <c r="Z70" s="89"/>
      <c r="AA70" s="92"/>
      <c r="AB70" s="89"/>
      <c r="AC70" s="104"/>
      <c r="AD70" s="104"/>
      <c r="AE70" s="92"/>
      <c r="AF70" s="92"/>
      <c r="AG70" s="99"/>
      <c r="AH70" s="99"/>
    </row>
    <row r="71" ht="26.25" customHeight="1">
      <c r="B71" s="95"/>
      <c r="C71" s="95"/>
      <c r="D71" s="77"/>
      <c r="E71" s="101"/>
      <c r="F71" s="89">
        <f t="shared" si="11"/>
        <v>62</v>
      </c>
      <c r="G71" s="90" t="s">
        <v>100</v>
      </c>
      <c r="H71" s="102" t="s">
        <v>213</v>
      </c>
      <c r="I71" s="90" t="s">
        <v>60</v>
      </c>
      <c r="J71" s="93" t="b">
        <v>1</v>
      </c>
      <c r="K71" s="122"/>
      <c r="L71" s="91" t="s">
        <v>214</v>
      </c>
      <c r="M71" s="107" t="s">
        <v>210</v>
      </c>
      <c r="N71" s="107" t="s">
        <v>211</v>
      </c>
      <c r="O71" s="95"/>
      <c r="P71" s="95"/>
      <c r="Q71" s="95"/>
      <c r="R71" s="95"/>
      <c r="S71" s="95"/>
      <c r="T71" s="95"/>
      <c r="U71" s="95"/>
      <c r="V71" s="89" t="str">
        <f t="shared" si="5"/>
        <v/>
      </c>
      <c r="W71" s="89"/>
      <c r="X71" s="92"/>
      <c r="Y71" s="92"/>
      <c r="Z71" s="89"/>
      <c r="AA71" s="92"/>
      <c r="AB71" s="89"/>
      <c r="AC71" s="104"/>
      <c r="AD71" s="104"/>
      <c r="AE71" s="92"/>
      <c r="AF71" s="92"/>
      <c r="AG71" s="99"/>
      <c r="AH71" s="99"/>
    </row>
    <row r="72" ht="26.25" customHeight="1">
      <c r="B72" s="95"/>
      <c r="C72" s="95"/>
      <c r="D72" s="77"/>
      <c r="E72" s="101"/>
      <c r="F72" s="89">
        <f t="shared" si="11"/>
        <v>63</v>
      </c>
      <c r="G72" s="90" t="s">
        <v>100</v>
      </c>
      <c r="H72" s="102" t="s">
        <v>202</v>
      </c>
      <c r="I72" s="90" t="s">
        <v>82</v>
      </c>
      <c r="J72" s="93" t="b">
        <v>0</v>
      </c>
      <c r="K72" s="89"/>
      <c r="L72" s="91" t="s">
        <v>215</v>
      </c>
      <c r="M72" s="107" t="s">
        <v>210</v>
      </c>
      <c r="N72" s="107" t="s">
        <v>211</v>
      </c>
      <c r="O72" s="95"/>
      <c r="P72" s="95"/>
      <c r="Q72" s="95"/>
      <c r="R72" s="95"/>
      <c r="S72" s="95"/>
      <c r="T72" s="95"/>
      <c r="U72" s="95"/>
      <c r="V72" s="89" t="str">
        <f t="shared" si="5"/>
        <v/>
      </c>
      <c r="W72" s="89"/>
      <c r="X72" s="92"/>
      <c r="Y72" s="92"/>
      <c r="Z72" s="89"/>
      <c r="AA72" s="92"/>
      <c r="AB72" s="89"/>
      <c r="AC72" s="104"/>
      <c r="AD72" s="104"/>
      <c r="AE72" s="92"/>
      <c r="AF72" s="92"/>
      <c r="AG72" s="99"/>
      <c r="AH72" s="99"/>
    </row>
    <row r="73" ht="26.25" customHeight="1">
      <c r="B73" s="95"/>
      <c r="C73" s="95"/>
      <c r="D73" s="77"/>
      <c r="E73" s="101"/>
      <c r="F73" s="89">
        <f t="shared" si="11"/>
        <v>64</v>
      </c>
      <c r="G73" s="90" t="s">
        <v>100</v>
      </c>
      <c r="H73" s="102" t="s">
        <v>216</v>
      </c>
      <c r="I73" s="90" t="s">
        <v>85</v>
      </c>
      <c r="J73" s="93" t="b">
        <v>0</v>
      </c>
      <c r="K73" s="89"/>
      <c r="L73" s="91" t="s">
        <v>215</v>
      </c>
      <c r="M73" s="107" t="s">
        <v>210</v>
      </c>
      <c r="N73" s="107" t="s">
        <v>211</v>
      </c>
      <c r="O73" s="95"/>
      <c r="P73" s="95"/>
      <c r="Q73" s="95"/>
      <c r="R73" s="95"/>
      <c r="S73" s="95"/>
      <c r="T73" s="95"/>
      <c r="U73" s="95"/>
      <c r="V73" s="89" t="str">
        <f t="shared" si="5"/>
        <v/>
      </c>
      <c r="W73" s="89"/>
      <c r="X73" s="92"/>
      <c r="Y73" s="92"/>
      <c r="Z73" s="89"/>
      <c r="AA73" s="92"/>
      <c r="AB73" s="89"/>
      <c r="AC73" s="104"/>
      <c r="AD73" s="104"/>
      <c r="AE73" s="92"/>
      <c r="AF73" s="92"/>
      <c r="AG73" s="99"/>
      <c r="AH73" s="99"/>
    </row>
    <row r="74" ht="26.25" customHeight="1">
      <c r="B74" s="95"/>
      <c r="C74" s="95"/>
      <c r="D74" s="77"/>
      <c r="E74" s="101"/>
      <c r="F74" s="89">
        <f t="shared" si="11"/>
        <v>65</v>
      </c>
      <c r="G74" s="90" t="s">
        <v>100</v>
      </c>
      <c r="H74" s="102" t="s">
        <v>217</v>
      </c>
      <c r="I74" s="90" t="s">
        <v>142</v>
      </c>
      <c r="J74" s="93" t="b">
        <v>0</v>
      </c>
      <c r="K74" s="89"/>
      <c r="L74" s="91" t="s">
        <v>215</v>
      </c>
      <c r="M74" s="107" t="s">
        <v>210</v>
      </c>
      <c r="N74" s="107" t="s">
        <v>211</v>
      </c>
      <c r="O74" s="95"/>
      <c r="P74" s="95"/>
      <c r="Q74" s="95"/>
      <c r="R74" s="95"/>
      <c r="S74" s="95"/>
      <c r="T74" s="95"/>
      <c r="U74" s="95"/>
      <c r="V74" s="89" t="str">
        <f t="shared" si="5"/>
        <v/>
      </c>
      <c r="W74" s="89"/>
      <c r="X74" s="92"/>
      <c r="Y74" s="92"/>
      <c r="Z74" s="89"/>
      <c r="AA74" s="92"/>
      <c r="AB74" s="89"/>
      <c r="AC74" s="104"/>
      <c r="AD74" s="104"/>
      <c r="AE74" s="92"/>
      <c r="AF74" s="92"/>
      <c r="AG74" s="99"/>
      <c r="AH74" s="99"/>
    </row>
    <row r="75" ht="26.25" customHeight="1">
      <c r="B75" s="95"/>
      <c r="C75" s="95"/>
      <c r="D75" s="77"/>
      <c r="E75" s="101"/>
      <c r="F75" s="89">
        <f t="shared" si="11"/>
        <v>66</v>
      </c>
      <c r="G75" s="90" t="s">
        <v>119</v>
      </c>
      <c r="H75" s="102" t="s">
        <v>218</v>
      </c>
      <c r="I75" s="90" t="s">
        <v>60</v>
      </c>
      <c r="J75" s="93" t="b">
        <v>0</v>
      </c>
      <c r="K75" s="91" t="s">
        <v>103</v>
      </c>
      <c r="L75" s="91" t="s">
        <v>219</v>
      </c>
      <c r="M75" s="107" t="s">
        <v>91</v>
      </c>
      <c r="N75" s="107" t="s">
        <v>220</v>
      </c>
      <c r="O75" s="95"/>
      <c r="P75" s="95"/>
      <c r="Q75" s="95"/>
      <c r="R75" s="95"/>
      <c r="S75" s="95"/>
      <c r="T75" s="95"/>
      <c r="U75" s="95"/>
      <c r="V75" s="89" t="str">
        <f t="shared" si="5"/>
        <v/>
      </c>
      <c r="W75" s="89"/>
      <c r="X75" s="92"/>
      <c r="Y75" s="92"/>
      <c r="Z75" s="89"/>
      <c r="AA75" s="92"/>
      <c r="AB75" s="89"/>
      <c r="AC75" s="104"/>
      <c r="AD75" s="104"/>
      <c r="AE75" s="92"/>
      <c r="AF75" s="92"/>
      <c r="AG75" s="99"/>
      <c r="AH75" s="99"/>
    </row>
    <row r="76" ht="26.25" customHeight="1">
      <c r="B76" s="95"/>
      <c r="C76" s="95"/>
      <c r="D76" s="77"/>
      <c r="E76" s="101"/>
      <c r="F76" s="89">
        <f t="shared" si="11"/>
        <v>67</v>
      </c>
      <c r="G76" s="90" t="s">
        <v>119</v>
      </c>
      <c r="H76" s="102" t="s">
        <v>221</v>
      </c>
      <c r="I76" s="90" t="s">
        <v>60</v>
      </c>
      <c r="J76" s="93" t="b">
        <v>0</v>
      </c>
      <c r="K76" s="91" t="s">
        <v>103</v>
      </c>
      <c r="L76" s="89"/>
      <c r="M76" s="107" t="s">
        <v>91</v>
      </c>
      <c r="N76" s="107" t="s">
        <v>220</v>
      </c>
      <c r="O76" s="95"/>
      <c r="P76" s="95"/>
      <c r="Q76" s="95"/>
      <c r="R76" s="95"/>
      <c r="S76" s="95"/>
      <c r="T76" s="95"/>
      <c r="U76" s="95"/>
      <c r="V76" s="89" t="str">
        <f t="shared" si="5"/>
        <v/>
      </c>
      <c r="W76" s="89"/>
      <c r="X76" s="92"/>
      <c r="Y76" s="92"/>
      <c r="Z76" s="89"/>
      <c r="AA76" s="92"/>
      <c r="AB76" s="89"/>
      <c r="AC76" s="104"/>
      <c r="AD76" s="104"/>
      <c r="AE76" s="92"/>
      <c r="AF76" s="92"/>
      <c r="AG76" s="99"/>
      <c r="AH76" s="99"/>
    </row>
    <row r="77" ht="26.25" customHeight="1">
      <c r="B77" s="95"/>
      <c r="C77" s="95"/>
      <c r="D77" s="77"/>
      <c r="E77" s="101"/>
      <c r="F77" s="89">
        <f t="shared" si="11"/>
        <v>68</v>
      </c>
      <c r="G77" s="90" t="s">
        <v>119</v>
      </c>
      <c r="H77" s="102" t="s">
        <v>223</v>
      </c>
      <c r="I77" s="90" t="s">
        <v>60</v>
      </c>
      <c r="J77" s="93" t="b">
        <v>0</v>
      </c>
      <c r="K77" s="91" t="s">
        <v>103</v>
      </c>
      <c r="L77" s="91" t="s">
        <v>236</v>
      </c>
      <c r="M77" s="107" t="s">
        <v>91</v>
      </c>
      <c r="N77" s="107" t="s">
        <v>220</v>
      </c>
      <c r="O77" s="95"/>
      <c r="P77" s="95"/>
      <c r="Q77" s="95"/>
      <c r="R77" s="95"/>
      <c r="S77" s="95"/>
      <c r="T77" s="95"/>
      <c r="U77" s="95"/>
      <c r="V77" s="89" t="str">
        <f t="shared" si="5"/>
        <v/>
      </c>
      <c r="W77" s="89"/>
      <c r="X77" s="92"/>
      <c r="Y77" s="92"/>
      <c r="Z77" s="89"/>
      <c r="AA77" s="92"/>
      <c r="AB77" s="89"/>
      <c r="AC77" s="104"/>
      <c r="AD77" s="104"/>
      <c r="AE77" s="92"/>
      <c r="AF77" s="92"/>
      <c r="AG77" s="99"/>
      <c r="AH77" s="99"/>
    </row>
    <row r="78" ht="26.25" customHeight="1">
      <c r="B78" s="95"/>
      <c r="C78" s="95"/>
      <c r="D78" s="77"/>
      <c r="E78" s="101"/>
      <c r="F78" s="89">
        <f t="shared" si="11"/>
        <v>69</v>
      </c>
      <c r="G78" s="90" t="s">
        <v>119</v>
      </c>
      <c r="H78" s="102" t="s">
        <v>293</v>
      </c>
      <c r="I78" s="90" t="s">
        <v>49</v>
      </c>
      <c r="J78" s="93" t="b">
        <v>0</v>
      </c>
      <c r="K78" s="91" t="s">
        <v>294</v>
      </c>
      <c r="L78" s="91" t="s">
        <v>295</v>
      </c>
      <c r="M78" s="107" t="s">
        <v>91</v>
      </c>
      <c r="N78" s="107" t="s">
        <v>220</v>
      </c>
      <c r="O78" s="95"/>
      <c r="P78" s="95"/>
      <c r="Q78" s="95"/>
      <c r="R78" s="95"/>
      <c r="S78" s="95"/>
      <c r="T78" s="95"/>
      <c r="U78" s="95"/>
      <c r="V78" s="89" t="str">
        <f t="shared" si="5"/>
        <v/>
      </c>
      <c r="W78" s="89"/>
      <c r="X78" s="92"/>
      <c r="Y78" s="92"/>
      <c r="Z78" s="89"/>
      <c r="AA78" s="92"/>
      <c r="AB78" s="89"/>
      <c r="AC78" s="104"/>
      <c r="AD78" s="104"/>
      <c r="AE78" s="92"/>
      <c r="AF78" s="92"/>
      <c r="AG78" s="99"/>
      <c r="AH78" s="99"/>
    </row>
    <row r="79" ht="26.25" customHeight="1">
      <c r="B79" s="95"/>
      <c r="C79" s="95"/>
      <c r="D79" s="77"/>
      <c r="E79" s="101"/>
      <c r="F79" s="89">
        <f t="shared" si="11"/>
        <v>70</v>
      </c>
      <c r="G79" s="90" t="s">
        <v>119</v>
      </c>
      <c r="H79" s="102" t="s">
        <v>296</v>
      </c>
      <c r="I79" s="90" t="s">
        <v>49</v>
      </c>
      <c r="J79" s="93" t="b">
        <v>0</v>
      </c>
      <c r="K79" s="91" t="s">
        <v>297</v>
      </c>
      <c r="L79" s="89"/>
      <c r="M79" s="107" t="s">
        <v>91</v>
      </c>
      <c r="N79" s="107" t="s">
        <v>220</v>
      </c>
      <c r="O79" s="95"/>
      <c r="P79" s="95"/>
      <c r="Q79" s="95"/>
      <c r="R79" s="95"/>
      <c r="S79" s="95"/>
      <c r="T79" s="95"/>
      <c r="U79" s="95"/>
      <c r="V79" s="89" t="str">
        <f t="shared" si="5"/>
        <v/>
      </c>
      <c r="W79" s="89"/>
      <c r="X79" s="92"/>
      <c r="Y79" s="92"/>
      <c r="Z79" s="89"/>
      <c r="AA79" s="92"/>
      <c r="AB79" s="89"/>
      <c r="AC79" s="104"/>
      <c r="AD79" s="104"/>
      <c r="AE79" s="92"/>
      <c r="AF79" s="92"/>
      <c r="AG79" s="99"/>
      <c r="AH79" s="99"/>
    </row>
    <row r="80" ht="26.25" customHeight="1">
      <c r="B80" s="95"/>
      <c r="C80" s="95"/>
      <c r="D80" s="77"/>
      <c r="E80" s="101"/>
      <c r="F80" s="89">
        <f t="shared" si="11"/>
        <v>71</v>
      </c>
      <c r="G80" s="90" t="s">
        <v>119</v>
      </c>
      <c r="H80" s="102" t="s">
        <v>298</v>
      </c>
      <c r="I80" s="90" t="s">
        <v>60</v>
      </c>
      <c r="J80" s="93" t="b">
        <v>0</v>
      </c>
      <c r="K80" s="89"/>
      <c r="L80" s="91" t="s">
        <v>299</v>
      </c>
      <c r="M80" s="107" t="s">
        <v>91</v>
      </c>
      <c r="N80" s="107" t="s">
        <v>220</v>
      </c>
      <c r="O80" s="95"/>
      <c r="P80" s="95"/>
      <c r="Q80" s="95"/>
      <c r="R80" s="95"/>
      <c r="S80" s="95"/>
      <c r="T80" s="95"/>
      <c r="U80" s="95"/>
      <c r="V80" s="89" t="str">
        <f t="shared" si="5"/>
        <v/>
      </c>
      <c r="W80" s="89"/>
      <c r="X80" s="92"/>
      <c r="Y80" s="92"/>
      <c r="Z80" s="89"/>
      <c r="AA80" s="92"/>
      <c r="AB80" s="89"/>
      <c r="AC80" s="104"/>
      <c r="AD80" s="104"/>
      <c r="AE80" s="92"/>
      <c r="AF80" s="92"/>
      <c r="AG80" s="99"/>
      <c r="AH80" s="99"/>
    </row>
    <row r="81" ht="26.25" customHeight="1">
      <c r="B81" s="95"/>
      <c r="C81" s="95"/>
      <c r="D81" s="77"/>
      <c r="E81" s="101"/>
      <c r="F81" s="89">
        <f t="shared" si="11"/>
        <v>72</v>
      </c>
      <c r="G81" s="90" t="s">
        <v>119</v>
      </c>
      <c r="H81" s="102" t="s">
        <v>302</v>
      </c>
      <c r="I81" s="90" t="s">
        <v>70</v>
      </c>
      <c r="J81" s="93" t="b">
        <v>0</v>
      </c>
      <c r="K81" s="89"/>
      <c r="L81" s="91" t="s">
        <v>304</v>
      </c>
      <c r="M81" s="107" t="s">
        <v>91</v>
      </c>
      <c r="N81" s="107" t="s">
        <v>220</v>
      </c>
      <c r="O81" s="95"/>
      <c r="P81" s="95"/>
      <c r="Q81" s="95"/>
      <c r="R81" s="95"/>
      <c r="S81" s="95"/>
      <c r="T81" s="95"/>
      <c r="U81" s="95"/>
      <c r="V81" s="89" t="str">
        <f t="shared" si="5"/>
        <v/>
      </c>
      <c r="W81" s="89"/>
      <c r="X81" s="92"/>
      <c r="Y81" s="92"/>
      <c r="Z81" s="89"/>
      <c r="AA81" s="92"/>
      <c r="AB81" s="89"/>
      <c r="AC81" s="104"/>
      <c r="AD81" s="104"/>
      <c r="AE81" s="92"/>
      <c r="AF81" s="92"/>
      <c r="AG81" s="99"/>
      <c r="AH81" s="99"/>
    </row>
    <row r="82" ht="26.25" customHeight="1">
      <c r="B82" s="95"/>
      <c r="C82" s="95"/>
      <c r="D82" s="77"/>
      <c r="E82" s="101"/>
      <c r="F82" s="89">
        <f t="shared" si="11"/>
        <v>73</v>
      </c>
      <c r="G82" s="90" t="s">
        <v>119</v>
      </c>
      <c r="H82" s="102" t="s">
        <v>307</v>
      </c>
      <c r="I82" s="90" t="s">
        <v>144</v>
      </c>
      <c r="J82" s="93" t="b">
        <v>0</v>
      </c>
      <c r="K82" s="89"/>
      <c r="L82" s="91" t="s">
        <v>309</v>
      </c>
      <c r="M82" s="107" t="s">
        <v>91</v>
      </c>
      <c r="N82" s="107" t="s">
        <v>220</v>
      </c>
      <c r="O82" s="95"/>
      <c r="P82" s="95"/>
      <c r="Q82" s="95"/>
      <c r="R82" s="95"/>
      <c r="S82" s="95"/>
      <c r="T82" s="95"/>
      <c r="U82" s="95"/>
      <c r="V82" s="89" t="str">
        <f t="shared" si="5"/>
        <v/>
      </c>
      <c r="W82" s="89"/>
      <c r="X82" s="92"/>
      <c r="Y82" s="92"/>
      <c r="Z82" s="89"/>
      <c r="AA82" s="92"/>
      <c r="AB82" s="89"/>
      <c r="AC82" s="104"/>
      <c r="AD82" s="104"/>
      <c r="AE82" s="92"/>
      <c r="AF82" s="92"/>
      <c r="AG82" s="99"/>
      <c r="AH82" s="99"/>
    </row>
    <row r="83" ht="26.25" customHeight="1">
      <c r="B83" s="95"/>
      <c r="C83" s="95"/>
      <c r="D83" s="77"/>
      <c r="E83" s="101"/>
      <c r="F83" s="89">
        <f t="shared" si="11"/>
        <v>74</v>
      </c>
      <c r="G83" s="90" t="s">
        <v>119</v>
      </c>
      <c r="H83" s="102" t="s">
        <v>310</v>
      </c>
      <c r="I83" s="90" t="s">
        <v>49</v>
      </c>
      <c r="J83" s="93" t="b">
        <v>0</v>
      </c>
      <c r="K83" s="91" t="s">
        <v>311</v>
      </c>
      <c r="L83" s="91"/>
      <c r="M83" s="107" t="s">
        <v>91</v>
      </c>
      <c r="N83" s="107" t="s">
        <v>220</v>
      </c>
      <c r="O83" s="95"/>
      <c r="P83" s="95"/>
      <c r="Q83" s="95"/>
      <c r="R83" s="95"/>
      <c r="S83" s="95"/>
      <c r="T83" s="95"/>
      <c r="U83" s="95"/>
      <c r="V83" s="89" t="str">
        <f t="shared" si="5"/>
        <v/>
      </c>
      <c r="W83" s="89"/>
      <c r="X83" s="92"/>
      <c r="Y83" s="92"/>
      <c r="Z83" s="89"/>
      <c r="AA83" s="92"/>
      <c r="AB83" s="89"/>
      <c r="AC83" s="104"/>
      <c r="AD83" s="104"/>
      <c r="AE83" s="92"/>
      <c r="AF83" s="92"/>
      <c r="AG83" s="99"/>
      <c r="AH83" s="99"/>
    </row>
    <row r="84" ht="26.25" customHeight="1">
      <c r="B84" s="95"/>
      <c r="C84" s="95"/>
      <c r="D84" s="77"/>
      <c r="E84" s="101"/>
      <c r="F84" s="89">
        <f>IF(H84="","",ROW()-9)</f>
        <v>75</v>
      </c>
      <c r="G84" s="111" t="s">
        <v>134</v>
      </c>
      <c r="H84" s="91" t="s">
        <v>43</v>
      </c>
      <c r="I84" s="90" t="s">
        <v>49</v>
      </c>
      <c r="J84" s="93" t="b">
        <v>0</v>
      </c>
      <c r="K84" s="89"/>
      <c r="L84" s="91" t="s">
        <v>312</v>
      </c>
      <c r="M84" s="107" t="s">
        <v>230</v>
      </c>
      <c r="N84" s="107" t="s">
        <v>230</v>
      </c>
      <c r="O84" s="95"/>
      <c r="P84" s="95"/>
      <c r="Q84" s="95"/>
      <c r="R84" s="95"/>
      <c r="S84" s="95"/>
      <c r="T84" s="95"/>
      <c r="U84" s="95"/>
      <c r="V84" s="89" t="str">
        <f t="shared" si="5"/>
        <v/>
      </c>
      <c r="W84" s="89"/>
      <c r="X84" s="92"/>
      <c r="Y84" s="92"/>
      <c r="Z84" s="89"/>
      <c r="AA84" s="92"/>
      <c r="AB84" s="89"/>
      <c r="AC84" s="104"/>
      <c r="AD84" s="104"/>
      <c r="AE84" s="92"/>
      <c r="AF84" s="92"/>
      <c r="AG84" s="99"/>
      <c r="AH84" s="99"/>
    </row>
    <row r="85" ht="26.25" customHeight="1">
      <c r="B85" s="95"/>
      <c r="C85" s="95"/>
      <c r="D85" s="77"/>
      <c r="E85" s="101"/>
      <c r="F85" s="89">
        <f>IF(G85="","",ROW()-9)</f>
        <v>76</v>
      </c>
      <c r="G85" s="111" t="s">
        <v>134</v>
      </c>
      <c r="H85" s="102" t="s">
        <v>53</v>
      </c>
      <c r="I85" s="90" t="s">
        <v>49</v>
      </c>
      <c r="J85" s="93" t="b">
        <v>0</v>
      </c>
      <c r="K85" s="89"/>
      <c r="L85" s="91" t="s">
        <v>312</v>
      </c>
      <c r="M85" s="107" t="s">
        <v>230</v>
      </c>
      <c r="N85" s="107" t="s">
        <v>230</v>
      </c>
      <c r="O85" s="95"/>
      <c r="P85" s="95"/>
      <c r="Q85" s="95"/>
      <c r="R85" s="95"/>
      <c r="S85" s="95"/>
      <c r="T85" s="95"/>
      <c r="U85" s="95"/>
      <c r="V85" s="89" t="str">
        <f t="shared" si="5"/>
        <v/>
      </c>
      <c r="W85" s="89"/>
      <c r="X85" s="92"/>
      <c r="Y85" s="92"/>
      <c r="Z85" s="89"/>
      <c r="AA85" s="92"/>
      <c r="AB85" s="89"/>
      <c r="AC85" s="104"/>
      <c r="AD85" s="104"/>
      <c r="AE85" s="92"/>
      <c r="AF85" s="92"/>
      <c r="AG85" s="99"/>
      <c r="AH85" s="99"/>
    </row>
    <row r="86" ht="26.25" customHeight="1">
      <c r="B86" s="95"/>
      <c r="C86" s="95"/>
      <c r="D86" s="77"/>
      <c r="E86" s="101"/>
      <c r="F86" s="89">
        <f t="shared" ref="F86:F198" si="12">IF(G86="","",ROW()-6)</f>
        <v>80</v>
      </c>
      <c r="G86" s="111" t="s">
        <v>134</v>
      </c>
      <c r="H86" s="102" t="s">
        <v>313</v>
      </c>
      <c r="I86" s="90" t="s">
        <v>49</v>
      </c>
      <c r="J86" s="93" t="b">
        <v>0</v>
      </c>
      <c r="K86" s="89"/>
      <c r="L86" s="89"/>
      <c r="M86" s="107" t="s">
        <v>230</v>
      </c>
      <c r="N86" s="107" t="s">
        <v>230</v>
      </c>
      <c r="O86" s="95"/>
      <c r="P86" s="95"/>
      <c r="Q86" s="95"/>
      <c r="R86" s="95"/>
      <c r="S86" s="95"/>
      <c r="T86" s="95"/>
      <c r="U86" s="95"/>
      <c r="V86" s="89" t="str">
        <f t="shared" si="5"/>
        <v/>
      </c>
      <c r="W86" s="89"/>
      <c r="X86" s="92"/>
      <c r="Y86" s="92"/>
      <c r="Z86" s="89"/>
      <c r="AA86" s="92"/>
      <c r="AB86" s="89"/>
      <c r="AC86" s="104"/>
      <c r="AD86" s="104"/>
      <c r="AE86" s="92"/>
      <c r="AF86" s="92"/>
      <c r="AG86" s="99"/>
      <c r="AH86" s="99"/>
    </row>
    <row r="87" ht="26.25" customHeight="1">
      <c r="B87" s="95"/>
      <c r="C87" s="95"/>
      <c r="D87" s="77"/>
      <c r="E87" s="101"/>
      <c r="F87" s="89">
        <f t="shared" si="12"/>
        <v>81</v>
      </c>
      <c r="G87" s="111" t="s">
        <v>134</v>
      </c>
      <c r="H87" s="102" t="s">
        <v>314</v>
      </c>
      <c r="I87" s="90" t="s">
        <v>49</v>
      </c>
      <c r="J87" s="93" t="b">
        <v>0</v>
      </c>
      <c r="K87" s="89"/>
      <c r="L87" s="89"/>
      <c r="M87" s="107" t="s">
        <v>230</v>
      </c>
      <c r="N87" s="107" t="s">
        <v>230</v>
      </c>
      <c r="O87" s="95"/>
      <c r="P87" s="95"/>
      <c r="Q87" s="95"/>
      <c r="R87" s="95"/>
      <c r="S87" s="95"/>
      <c r="T87" s="95"/>
      <c r="U87" s="95"/>
      <c r="V87" s="89" t="str">
        <f t="shared" si="5"/>
        <v/>
      </c>
      <c r="W87" s="89"/>
      <c r="X87" s="92"/>
      <c r="Y87" s="92"/>
      <c r="Z87" s="89"/>
      <c r="AA87" s="92"/>
      <c r="AB87" s="89"/>
      <c r="AC87" s="104"/>
      <c r="AD87" s="104"/>
      <c r="AE87" s="92"/>
      <c r="AF87" s="92"/>
      <c r="AG87" s="99"/>
      <c r="AH87" s="99"/>
    </row>
    <row r="88" ht="26.25" customHeight="1">
      <c r="B88" s="95"/>
      <c r="C88" s="95"/>
      <c r="D88" s="77"/>
      <c r="E88" s="101"/>
      <c r="F88" s="89">
        <f t="shared" si="12"/>
        <v>82</v>
      </c>
      <c r="G88" s="90" t="s">
        <v>134</v>
      </c>
      <c r="H88" s="102" t="s">
        <v>316</v>
      </c>
      <c r="I88" s="90" t="s">
        <v>49</v>
      </c>
      <c r="J88" s="93" t="b">
        <v>0</v>
      </c>
      <c r="K88" s="89"/>
      <c r="L88" s="89"/>
      <c r="M88" s="107" t="s">
        <v>230</v>
      </c>
      <c r="N88" s="107" t="s">
        <v>230</v>
      </c>
      <c r="O88" s="95"/>
      <c r="P88" s="95"/>
      <c r="Q88" s="95"/>
      <c r="R88" s="95"/>
      <c r="S88" s="95"/>
      <c r="T88" s="95"/>
      <c r="U88" s="95"/>
      <c r="V88" s="89" t="str">
        <f t="shared" si="5"/>
        <v/>
      </c>
      <c r="W88" s="89"/>
      <c r="X88" s="92"/>
      <c r="Y88" s="92"/>
      <c r="Z88" s="89"/>
      <c r="AA88" s="92"/>
      <c r="AB88" s="89"/>
      <c r="AC88" s="104"/>
      <c r="AD88" s="104"/>
      <c r="AE88" s="92"/>
      <c r="AF88" s="92"/>
      <c r="AG88" s="99"/>
      <c r="AH88" s="99"/>
    </row>
    <row r="89" ht="26.25" customHeight="1">
      <c r="B89" s="95"/>
      <c r="C89" s="95"/>
      <c r="D89" s="77"/>
      <c r="E89" s="101"/>
      <c r="F89" s="89">
        <f t="shared" si="12"/>
        <v>83</v>
      </c>
      <c r="G89" s="90" t="s">
        <v>134</v>
      </c>
      <c r="H89" s="102" t="s">
        <v>55</v>
      </c>
      <c r="I89" s="90" t="s">
        <v>49</v>
      </c>
      <c r="J89" s="93" t="b">
        <v>0</v>
      </c>
      <c r="K89" s="89"/>
      <c r="L89" s="89"/>
      <c r="M89" s="107" t="s">
        <v>230</v>
      </c>
      <c r="N89" s="107" t="s">
        <v>230</v>
      </c>
      <c r="O89" s="95"/>
      <c r="P89" s="95"/>
      <c r="Q89" s="95"/>
      <c r="R89" s="95"/>
      <c r="S89" s="95"/>
      <c r="T89" s="95"/>
      <c r="U89" s="95"/>
      <c r="V89" s="89" t="str">
        <f t="shared" si="5"/>
        <v/>
      </c>
      <c r="W89" s="89"/>
      <c r="X89" s="92"/>
      <c r="Y89" s="92"/>
      <c r="Z89" s="89"/>
      <c r="AA89" s="92"/>
      <c r="AB89" s="89"/>
      <c r="AC89" s="104"/>
      <c r="AD89" s="104"/>
      <c r="AE89" s="92"/>
      <c r="AF89" s="92"/>
      <c r="AG89" s="99"/>
      <c r="AH89" s="99"/>
    </row>
    <row r="90" ht="26.25" customHeight="1">
      <c r="B90" s="95"/>
      <c r="C90" s="95"/>
      <c r="D90" s="77"/>
      <c r="E90" s="101"/>
      <c r="F90" s="89">
        <f t="shared" si="12"/>
        <v>84</v>
      </c>
      <c r="G90" s="90" t="s">
        <v>134</v>
      </c>
      <c r="H90" s="102" t="s">
        <v>319</v>
      </c>
      <c r="I90" s="90" t="s">
        <v>49</v>
      </c>
      <c r="J90" s="93" t="b">
        <v>0</v>
      </c>
      <c r="K90" s="89"/>
      <c r="L90" s="89"/>
      <c r="M90" s="107" t="s">
        <v>230</v>
      </c>
      <c r="N90" s="107" t="s">
        <v>230</v>
      </c>
      <c r="O90" s="95"/>
      <c r="P90" s="95"/>
      <c r="Q90" s="95"/>
      <c r="R90" s="95"/>
      <c r="S90" s="95"/>
      <c r="T90" s="95"/>
      <c r="U90" s="95"/>
      <c r="V90" s="89" t="str">
        <f t="shared" si="5"/>
        <v/>
      </c>
      <c r="W90" s="89"/>
      <c r="X90" s="92"/>
      <c r="Y90" s="92"/>
      <c r="Z90" s="89"/>
      <c r="AA90" s="92"/>
      <c r="AB90" s="89"/>
      <c r="AC90" s="104"/>
      <c r="AD90" s="104"/>
      <c r="AE90" s="92"/>
      <c r="AF90" s="92"/>
      <c r="AG90" s="99"/>
      <c r="AH90" s="99"/>
    </row>
    <row r="91" ht="26.25" customHeight="1">
      <c r="B91" s="95"/>
      <c r="C91" s="95"/>
      <c r="D91" s="77"/>
      <c r="E91" s="101"/>
      <c r="F91" s="89" t="str">
        <f t="shared" si="12"/>
        <v/>
      </c>
      <c r="G91" s="92"/>
      <c r="H91" s="103"/>
      <c r="I91" s="92"/>
      <c r="J91" s="93" t="b">
        <v>0</v>
      </c>
      <c r="K91" s="89"/>
      <c r="L91" s="89"/>
      <c r="M91" s="110"/>
      <c r="N91" s="110"/>
      <c r="O91" s="95"/>
      <c r="P91" s="95"/>
      <c r="Q91" s="95"/>
      <c r="R91" s="95"/>
      <c r="S91" s="95"/>
      <c r="T91" s="95"/>
      <c r="U91" s="95"/>
      <c r="V91" s="89" t="str">
        <f t="shared" si="5"/>
        <v/>
      </c>
      <c r="W91" s="89"/>
      <c r="X91" s="92"/>
      <c r="Y91" s="92"/>
      <c r="Z91" s="89"/>
      <c r="AA91" s="92"/>
      <c r="AB91" s="89"/>
      <c r="AC91" s="104"/>
      <c r="AD91" s="104"/>
      <c r="AE91" s="92"/>
      <c r="AF91" s="92"/>
      <c r="AG91" s="99"/>
      <c r="AH91" s="99"/>
    </row>
    <row r="92" ht="26.25" customHeight="1">
      <c r="B92" s="95"/>
      <c r="C92" s="95"/>
      <c r="D92" s="77"/>
      <c r="E92" s="101"/>
      <c r="F92" s="89" t="str">
        <f t="shared" si="12"/>
        <v/>
      </c>
      <c r="G92" s="92"/>
      <c r="H92" s="103"/>
      <c r="I92" s="92"/>
      <c r="J92" s="93" t="b">
        <v>0</v>
      </c>
      <c r="K92" s="89"/>
      <c r="L92" s="89"/>
      <c r="M92" s="110"/>
      <c r="N92" s="110"/>
      <c r="O92" s="95"/>
      <c r="P92" s="95"/>
      <c r="Q92" s="95"/>
      <c r="R92" s="95"/>
      <c r="S92" s="95"/>
      <c r="T92" s="95"/>
      <c r="U92" s="95"/>
      <c r="V92" s="89" t="str">
        <f t="shared" si="5"/>
        <v/>
      </c>
      <c r="W92" s="89"/>
      <c r="X92" s="92"/>
      <c r="Y92" s="92"/>
      <c r="Z92" s="89"/>
      <c r="AA92" s="92"/>
      <c r="AB92" s="89"/>
      <c r="AC92" s="104"/>
      <c r="AD92" s="104"/>
      <c r="AE92" s="92"/>
      <c r="AF92" s="92"/>
      <c r="AG92" s="99"/>
      <c r="AH92" s="99"/>
    </row>
    <row r="93" ht="26.25" customHeight="1">
      <c r="B93" s="95"/>
      <c r="C93" s="95"/>
      <c r="D93" s="77"/>
      <c r="E93" s="101"/>
      <c r="F93" s="89" t="str">
        <f t="shared" si="12"/>
        <v/>
      </c>
      <c r="G93" s="92"/>
      <c r="H93" s="103"/>
      <c r="I93" s="92"/>
      <c r="J93" s="93" t="b">
        <v>0</v>
      </c>
      <c r="K93" s="89"/>
      <c r="L93" s="89"/>
      <c r="M93" s="110"/>
      <c r="N93" s="110"/>
      <c r="O93" s="95"/>
      <c r="P93" s="95"/>
      <c r="Q93" s="95"/>
      <c r="R93" s="95"/>
      <c r="S93" s="95"/>
      <c r="T93" s="95"/>
      <c r="U93" s="95"/>
      <c r="V93" s="89" t="str">
        <f t="shared" si="5"/>
        <v/>
      </c>
      <c r="W93" s="89"/>
      <c r="X93" s="92"/>
      <c r="Y93" s="92"/>
      <c r="Z93" s="89"/>
      <c r="AA93" s="92"/>
      <c r="AB93" s="89"/>
      <c r="AC93" s="104"/>
      <c r="AD93" s="104"/>
      <c r="AE93" s="92"/>
      <c r="AF93" s="92"/>
      <c r="AG93" s="99"/>
      <c r="AH93" s="99"/>
    </row>
    <row r="94" ht="26.25" customHeight="1">
      <c r="B94" s="95"/>
      <c r="C94" s="95"/>
      <c r="D94" s="77"/>
      <c r="E94" s="101"/>
      <c r="F94" s="89" t="str">
        <f t="shared" si="12"/>
        <v/>
      </c>
      <c r="G94" s="92"/>
      <c r="H94" s="103"/>
      <c r="I94" s="92"/>
      <c r="J94" s="93" t="b">
        <v>0</v>
      </c>
      <c r="K94" s="89"/>
      <c r="L94" s="89"/>
      <c r="M94" s="110"/>
      <c r="N94" s="110"/>
      <c r="O94" s="95"/>
      <c r="P94" s="95"/>
      <c r="Q94" s="95"/>
      <c r="R94" s="95"/>
      <c r="S94" s="95"/>
      <c r="T94" s="95"/>
      <c r="U94" s="95"/>
      <c r="V94" s="89" t="str">
        <f t="shared" si="5"/>
        <v/>
      </c>
      <c r="W94" s="89"/>
      <c r="X94" s="92"/>
      <c r="Y94" s="92"/>
      <c r="Z94" s="89"/>
      <c r="AA94" s="92"/>
      <c r="AB94" s="89"/>
      <c r="AC94" s="104"/>
      <c r="AD94" s="104"/>
      <c r="AE94" s="92"/>
      <c r="AF94" s="92"/>
      <c r="AG94" s="99"/>
      <c r="AH94" s="99"/>
    </row>
    <row r="95" ht="26.25" customHeight="1">
      <c r="B95" s="95"/>
      <c r="C95" s="95"/>
      <c r="D95" s="77"/>
      <c r="E95" s="101"/>
      <c r="F95" s="89" t="str">
        <f t="shared" si="12"/>
        <v/>
      </c>
      <c r="G95" s="92"/>
      <c r="H95" s="103"/>
      <c r="I95" s="92"/>
      <c r="J95" s="93" t="b">
        <v>0</v>
      </c>
      <c r="K95" s="89"/>
      <c r="L95" s="89"/>
      <c r="M95" s="110"/>
      <c r="N95" s="110"/>
      <c r="O95" s="95"/>
      <c r="P95" s="95"/>
      <c r="Q95" s="95"/>
      <c r="R95" s="95"/>
      <c r="S95" s="95"/>
      <c r="T95" s="95"/>
      <c r="U95" s="95"/>
      <c r="V95" s="89" t="str">
        <f t="shared" si="5"/>
        <v/>
      </c>
      <c r="W95" s="89"/>
      <c r="X95" s="92"/>
      <c r="Y95" s="92"/>
      <c r="Z95" s="89"/>
      <c r="AA95" s="92"/>
      <c r="AB95" s="89"/>
      <c r="AC95" s="104"/>
      <c r="AD95" s="104"/>
      <c r="AE95" s="92"/>
      <c r="AF95" s="92"/>
      <c r="AG95" s="99"/>
      <c r="AH95" s="99"/>
    </row>
    <row r="96" ht="26.25" customHeight="1">
      <c r="B96" s="95"/>
      <c r="C96" s="95"/>
      <c r="D96" s="77"/>
      <c r="E96" s="101"/>
      <c r="F96" s="89" t="str">
        <f t="shared" si="12"/>
        <v/>
      </c>
      <c r="G96" s="92"/>
      <c r="H96" s="103"/>
      <c r="I96" s="92"/>
      <c r="J96" s="93" t="b">
        <v>0</v>
      </c>
      <c r="K96" s="89"/>
      <c r="L96" s="89"/>
      <c r="M96" s="110"/>
      <c r="N96" s="110"/>
      <c r="O96" s="95"/>
      <c r="P96" s="95"/>
      <c r="Q96" s="95"/>
      <c r="R96" s="95"/>
      <c r="S96" s="95"/>
      <c r="T96" s="95"/>
      <c r="U96" s="95"/>
      <c r="V96" s="89" t="str">
        <f t="shared" si="5"/>
        <v/>
      </c>
      <c r="W96" s="89"/>
      <c r="X96" s="92"/>
      <c r="Y96" s="92"/>
      <c r="Z96" s="89"/>
      <c r="AA96" s="92"/>
      <c r="AB96" s="89"/>
      <c r="AC96" s="104"/>
      <c r="AD96" s="104"/>
      <c r="AE96" s="92"/>
      <c r="AF96" s="92"/>
      <c r="AG96" s="99"/>
      <c r="AH96" s="99"/>
    </row>
    <row r="97" ht="26.25" customHeight="1">
      <c r="B97" s="95"/>
      <c r="C97" s="95"/>
      <c r="D97" s="77"/>
      <c r="E97" s="101"/>
      <c r="F97" s="89" t="str">
        <f t="shared" si="12"/>
        <v/>
      </c>
      <c r="G97" s="92"/>
      <c r="H97" s="103"/>
      <c r="I97" s="92"/>
      <c r="J97" s="93" t="b">
        <v>0</v>
      </c>
      <c r="K97" s="89"/>
      <c r="L97" s="89"/>
      <c r="M97" s="110"/>
      <c r="N97" s="110"/>
      <c r="O97" s="95"/>
      <c r="P97" s="95"/>
      <c r="Q97" s="95"/>
      <c r="R97" s="95"/>
      <c r="S97" s="95"/>
      <c r="T97" s="95"/>
      <c r="U97" s="95"/>
      <c r="V97" s="89" t="str">
        <f t="shared" si="5"/>
        <v/>
      </c>
      <c r="W97" s="89"/>
      <c r="X97" s="92"/>
      <c r="Y97" s="92"/>
      <c r="Z97" s="89"/>
      <c r="AA97" s="92"/>
      <c r="AB97" s="89"/>
      <c r="AC97" s="104"/>
      <c r="AD97" s="104"/>
      <c r="AE97" s="92"/>
      <c r="AF97" s="92"/>
      <c r="AG97" s="99"/>
      <c r="AH97" s="99"/>
    </row>
    <row r="98" ht="26.25" customHeight="1">
      <c r="B98" s="95"/>
      <c r="C98" s="95"/>
      <c r="D98" s="77"/>
      <c r="E98" s="101"/>
      <c r="F98" s="89" t="str">
        <f t="shared" si="12"/>
        <v/>
      </c>
      <c r="G98" s="92"/>
      <c r="H98" s="103"/>
      <c r="I98" s="92"/>
      <c r="J98" s="93" t="b">
        <v>0</v>
      </c>
      <c r="K98" s="89"/>
      <c r="L98" s="89"/>
      <c r="M98" s="110"/>
      <c r="N98" s="110"/>
      <c r="O98" s="95"/>
      <c r="P98" s="95"/>
      <c r="Q98" s="95"/>
      <c r="R98" s="95"/>
      <c r="S98" s="95"/>
      <c r="T98" s="95"/>
      <c r="U98" s="95"/>
      <c r="V98" s="89" t="str">
        <f t="shared" si="5"/>
        <v/>
      </c>
      <c r="W98" s="89"/>
      <c r="X98" s="92"/>
      <c r="Y98" s="92"/>
      <c r="Z98" s="89"/>
      <c r="AA98" s="92"/>
      <c r="AB98" s="89"/>
      <c r="AC98" s="104"/>
      <c r="AD98" s="104"/>
      <c r="AE98" s="92"/>
      <c r="AF98" s="92"/>
      <c r="AG98" s="99"/>
      <c r="AH98" s="99"/>
    </row>
    <row r="99" ht="26.25" customHeight="1">
      <c r="B99" s="95"/>
      <c r="C99" s="95"/>
      <c r="D99" s="77"/>
      <c r="E99" s="101"/>
      <c r="F99" s="89" t="str">
        <f t="shared" si="12"/>
        <v/>
      </c>
      <c r="G99" s="92"/>
      <c r="H99" s="103"/>
      <c r="I99" s="92"/>
      <c r="J99" s="93" t="b">
        <v>0</v>
      </c>
      <c r="K99" s="89"/>
      <c r="L99" s="89"/>
      <c r="M99" s="110"/>
      <c r="N99" s="110"/>
      <c r="O99" s="95"/>
      <c r="P99" s="95"/>
      <c r="Q99" s="95"/>
      <c r="R99" s="95"/>
      <c r="S99" s="95"/>
      <c r="T99" s="95"/>
      <c r="U99" s="95"/>
      <c r="V99" s="89" t="str">
        <f t="shared" si="5"/>
        <v/>
      </c>
      <c r="W99" s="89"/>
      <c r="X99" s="92"/>
      <c r="Y99" s="92"/>
      <c r="Z99" s="89"/>
      <c r="AA99" s="92"/>
      <c r="AB99" s="89"/>
      <c r="AC99" s="104"/>
      <c r="AD99" s="104"/>
      <c r="AE99" s="92"/>
      <c r="AF99" s="92"/>
      <c r="AG99" s="99"/>
      <c r="AH99" s="99"/>
    </row>
    <row r="100" ht="26.25" customHeight="1">
      <c r="B100" s="95"/>
      <c r="C100" s="95"/>
      <c r="D100" s="77"/>
      <c r="E100" s="101"/>
      <c r="F100" s="89" t="str">
        <f t="shared" si="12"/>
        <v/>
      </c>
      <c r="G100" s="92"/>
      <c r="H100" s="103"/>
      <c r="I100" s="92"/>
      <c r="J100" s="93" t="b">
        <v>0</v>
      </c>
      <c r="K100" s="89"/>
      <c r="L100" s="89"/>
      <c r="M100" s="110"/>
      <c r="N100" s="110"/>
      <c r="O100" s="95"/>
      <c r="P100" s="95"/>
      <c r="Q100" s="95"/>
      <c r="R100" s="95"/>
      <c r="S100" s="95"/>
      <c r="T100" s="95"/>
      <c r="U100" s="95"/>
      <c r="V100" s="89" t="str">
        <f t="shared" si="5"/>
        <v/>
      </c>
      <c r="W100" s="89"/>
      <c r="X100" s="92"/>
      <c r="Y100" s="92"/>
      <c r="Z100" s="89"/>
      <c r="AA100" s="92"/>
      <c r="AB100" s="89"/>
      <c r="AC100" s="104"/>
      <c r="AD100" s="104"/>
      <c r="AE100" s="92"/>
      <c r="AF100" s="92"/>
      <c r="AG100" s="99"/>
      <c r="AH100" s="99"/>
    </row>
    <row r="101" ht="15.75" customHeight="1">
      <c r="E101" s="112"/>
      <c r="F101" s="52" t="str">
        <f t="shared" si="12"/>
        <v/>
      </c>
      <c r="G101" s="52"/>
      <c r="H101" s="52"/>
      <c r="I101" s="52"/>
      <c r="J101" s="52"/>
      <c r="K101" s="52"/>
      <c r="L101" s="52"/>
      <c r="M101" s="113"/>
      <c r="N101" s="127"/>
      <c r="V101" s="52" t="str">
        <f t="shared" si="5"/>
        <v/>
      </c>
      <c r="W101" s="52"/>
      <c r="X101" s="52"/>
      <c r="Y101" s="52"/>
      <c r="Z101" s="52"/>
      <c r="AA101" s="52"/>
      <c r="AB101" s="114"/>
      <c r="AC101" s="56"/>
      <c r="AD101" s="115"/>
      <c r="AE101" s="116"/>
    </row>
    <row r="102" ht="15.75" customHeight="1">
      <c r="E102" s="112"/>
      <c r="F102" s="52" t="str">
        <f t="shared" si="12"/>
        <v/>
      </c>
      <c r="G102" s="52"/>
      <c r="H102" s="52"/>
      <c r="I102" s="52"/>
      <c r="J102" s="52"/>
      <c r="K102" s="52"/>
      <c r="L102" s="52"/>
      <c r="M102" s="113"/>
      <c r="N102" s="113"/>
      <c r="V102" s="52" t="str">
        <f t="shared" si="5"/>
        <v/>
      </c>
      <c r="W102" s="52"/>
      <c r="X102" s="52"/>
      <c r="Y102" s="52"/>
      <c r="Z102" s="52"/>
      <c r="AA102" s="52"/>
      <c r="AB102" s="114"/>
      <c r="AC102" s="56"/>
      <c r="AD102" s="115"/>
      <c r="AE102" s="116"/>
    </row>
    <row r="103" ht="15.75" customHeight="1">
      <c r="E103" s="112"/>
      <c r="F103" s="52" t="str">
        <f t="shared" si="12"/>
        <v/>
      </c>
      <c r="G103" s="52"/>
      <c r="H103" s="52"/>
      <c r="I103" s="52"/>
      <c r="J103" s="52"/>
      <c r="K103" s="52"/>
      <c r="L103" s="52"/>
      <c r="M103" s="113"/>
      <c r="N103" s="113"/>
      <c r="V103" s="52" t="str">
        <f t="shared" si="5"/>
        <v/>
      </c>
      <c r="W103" s="52"/>
      <c r="X103" s="52"/>
      <c r="Y103" s="52"/>
      <c r="Z103" s="52"/>
      <c r="AA103" s="52"/>
      <c r="AB103" s="114"/>
      <c r="AC103" s="56"/>
      <c r="AD103" s="115"/>
      <c r="AE103" s="116"/>
    </row>
    <row r="104" ht="15.75" customHeight="1">
      <c r="E104" s="112"/>
      <c r="F104" s="52" t="str">
        <f t="shared" si="12"/>
        <v/>
      </c>
      <c r="G104" s="52"/>
      <c r="H104" s="52"/>
      <c r="I104" s="52"/>
      <c r="J104" s="52"/>
      <c r="K104" s="52"/>
      <c r="L104" s="52"/>
      <c r="M104" s="113"/>
      <c r="N104" s="113"/>
      <c r="V104" s="52" t="str">
        <f t="shared" si="5"/>
        <v/>
      </c>
      <c r="W104" s="52"/>
      <c r="X104" s="52"/>
      <c r="Y104" s="52"/>
      <c r="Z104" s="52"/>
      <c r="AA104" s="52"/>
      <c r="AB104" s="114"/>
      <c r="AC104" s="56"/>
      <c r="AD104" s="115"/>
      <c r="AE104" s="116"/>
    </row>
    <row r="105" ht="15.75" customHeight="1">
      <c r="E105" s="112"/>
      <c r="F105" s="52" t="str">
        <f t="shared" si="12"/>
        <v/>
      </c>
      <c r="G105" s="52"/>
      <c r="H105" s="52"/>
      <c r="I105" s="52"/>
      <c r="J105" s="52"/>
      <c r="K105" s="52"/>
      <c r="L105" s="52"/>
      <c r="M105" s="113"/>
      <c r="N105" s="113"/>
      <c r="V105" s="52" t="str">
        <f t="shared" si="5"/>
        <v/>
      </c>
      <c r="W105" s="52"/>
      <c r="X105" s="52"/>
      <c r="Y105" s="52"/>
      <c r="Z105" s="52"/>
      <c r="AA105" s="52"/>
      <c r="AB105" s="114"/>
      <c r="AC105" s="56"/>
      <c r="AD105" s="115"/>
      <c r="AE105" s="116"/>
    </row>
    <row r="106" ht="15.75" customHeight="1">
      <c r="E106" s="112"/>
      <c r="F106" s="52" t="str">
        <f t="shared" si="12"/>
        <v/>
      </c>
      <c r="G106" s="52"/>
      <c r="H106" s="52"/>
      <c r="I106" s="52"/>
      <c r="J106" s="52"/>
      <c r="K106" s="52"/>
      <c r="L106" s="52"/>
      <c r="M106" s="113"/>
      <c r="N106" s="113"/>
      <c r="V106" s="52" t="str">
        <f t="shared" si="5"/>
        <v/>
      </c>
      <c r="W106" s="52"/>
      <c r="X106" s="52"/>
      <c r="Y106" s="52"/>
      <c r="Z106" s="52"/>
      <c r="AA106" s="52"/>
      <c r="AB106" s="114"/>
      <c r="AC106" s="56"/>
      <c r="AD106" s="115"/>
      <c r="AE106" s="116"/>
    </row>
    <row r="107" ht="15.75" customHeight="1">
      <c r="E107" s="112"/>
      <c r="F107" s="52" t="str">
        <f t="shared" si="12"/>
        <v/>
      </c>
      <c r="G107" s="52"/>
      <c r="H107" s="52"/>
      <c r="I107" s="52"/>
      <c r="J107" s="52"/>
      <c r="K107" s="52"/>
      <c r="L107" s="52"/>
      <c r="M107" s="113"/>
      <c r="N107" s="113"/>
      <c r="V107" s="52" t="str">
        <f t="shared" si="5"/>
        <v/>
      </c>
      <c r="W107" s="52"/>
      <c r="X107" s="52"/>
      <c r="Y107" s="52"/>
      <c r="Z107" s="52"/>
      <c r="AA107" s="52"/>
      <c r="AB107" s="114"/>
      <c r="AC107" s="56"/>
      <c r="AD107" s="115"/>
      <c r="AE107" s="116"/>
    </row>
    <row r="108" ht="15.75" customHeight="1">
      <c r="E108" s="112"/>
      <c r="F108" s="52" t="str">
        <f t="shared" si="12"/>
        <v/>
      </c>
      <c r="G108" s="52"/>
      <c r="H108" s="52"/>
      <c r="I108" s="52"/>
      <c r="J108" s="52"/>
      <c r="K108" s="52"/>
      <c r="L108" s="52"/>
      <c r="M108" s="113"/>
      <c r="N108" s="113"/>
      <c r="V108" s="52" t="str">
        <f t="shared" si="5"/>
        <v/>
      </c>
      <c r="W108" s="52"/>
      <c r="X108" s="52"/>
      <c r="Y108" s="52"/>
      <c r="Z108" s="52"/>
      <c r="AA108" s="52"/>
      <c r="AB108" s="114"/>
      <c r="AC108" s="56"/>
      <c r="AD108" s="115"/>
      <c r="AE108" s="116"/>
    </row>
    <row r="109" ht="15.75" customHeight="1">
      <c r="E109" s="112"/>
      <c r="F109" s="52" t="str">
        <f t="shared" si="12"/>
        <v/>
      </c>
      <c r="G109" s="52"/>
      <c r="H109" s="52"/>
      <c r="I109" s="52"/>
      <c r="J109" s="52"/>
      <c r="K109" s="52"/>
      <c r="L109" s="52"/>
      <c r="M109" s="113"/>
      <c r="N109" s="113"/>
      <c r="V109" s="52" t="str">
        <f t="shared" si="5"/>
        <v/>
      </c>
      <c r="W109" s="52"/>
      <c r="X109" s="52"/>
      <c r="Y109" s="52"/>
      <c r="Z109" s="52"/>
      <c r="AA109" s="52"/>
      <c r="AB109" s="114"/>
      <c r="AC109" s="56"/>
      <c r="AD109" s="115"/>
      <c r="AE109" s="116"/>
    </row>
    <row r="110" ht="15.75" customHeight="1">
      <c r="E110" s="112"/>
      <c r="F110" s="52" t="str">
        <f t="shared" si="12"/>
        <v/>
      </c>
      <c r="G110" s="52"/>
      <c r="H110" s="52"/>
      <c r="I110" s="52"/>
      <c r="J110" s="52"/>
      <c r="K110" s="52"/>
      <c r="L110" s="52"/>
      <c r="M110" s="113"/>
      <c r="N110" s="113"/>
      <c r="V110" s="52" t="str">
        <f t="shared" si="5"/>
        <v/>
      </c>
      <c r="W110" s="52"/>
      <c r="X110" s="52"/>
      <c r="Y110" s="52"/>
      <c r="Z110" s="52"/>
      <c r="AA110" s="52"/>
      <c r="AB110" s="114"/>
      <c r="AC110" s="56"/>
      <c r="AD110" s="115"/>
      <c r="AE110" s="116"/>
    </row>
    <row r="111" ht="15.75" customHeight="1">
      <c r="E111" s="112"/>
      <c r="F111" s="52" t="str">
        <f t="shared" si="12"/>
        <v/>
      </c>
      <c r="G111" s="52"/>
      <c r="H111" s="52"/>
      <c r="I111" s="52"/>
      <c r="J111" s="52"/>
      <c r="K111" s="52"/>
      <c r="L111" s="52"/>
      <c r="M111" s="113"/>
      <c r="N111" s="113"/>
      <c r="V111" s="52" t="str">
        <f t="shared" si="5"/>
        <v/>
      </c>
      <c r="W111" s="52"/>
      <c r="X111" s="52"/>
      <c r="Y111" s="52"/>
      <c r="Z111" s="52"/>
      <c r="AA111" s="52"/>
      <c r="AB111" s="114"/>
      <c r="AC111" s="56"/>
      <c r="AD111" s="115"/>
      <c r="AE111" s="116"/>
    </row>
    <row r="112" ht="15.75" customHeight="1">
      <c r="E112" s="112"/>
      <c r="F112" s="52" t="str">
        <f t="shared" si="12"/>
        <v/>
      </c>
      <c r="G112" s="52"/>
      <c r="H112" s="52"/>
      <c r="I112" s="52"/>
      <c r="J112" s="52"/>
      <c r="K112" s="52"/>
      <c r="L112" s="52"/>
      <c r="M112" s="113"/>
      <c r="N112" s="113"/>
      <c r="V112" s="52" t="str">
        <f t="shared" si="5"/>
        <v/>
      </c>
      <c r="W112" s="52"/>
      <c r="X112" s="52"/>
      <c r="Y112" s="52"/>
      <c r="Z112" s="52"/>
      <c r="AA112" s="52"/>
      <c r="AB112" s="114"/>
      <c r="AC112" s="56"/>
      <c r="AD112" s="115"/>
      <c r="AE112" s="116"/>
    </row>
    <row r="113" ht="15.75" customHeight="1">
      <c r="E113" s="112"/>
      <c r="F113" s="52" t="str">
        <f t="shared" si="12"/>
        <v/>
      </c>
      <c r="G113" s="52"/>
      <c r="H113" s="52"/>
      <c r="I113" s="52"/>
      <c r="J113" s="52"/>
      <c r="K113" s="52"/>
      <c r="L113" s="52"/>
      <c r="M113" s="113"/>
      <c r="N113" s="113"/>
      <c r="V113" s="52" t="str">
        <f t="shared" si="5"/>
        <v/>
      </c>
      <c r="W113" s="52"/>
      <c r="X113" s="52"/>
      <c r="Y113" s="52"/>
      <c r="Z113" s="52"/>
      <c r="AA113" s="52"/>
      <c r="AB113" s="114"/>
      <c r="AC113" s="56"/>
      <c r="AD113" s="115"/>
      <c r="AE113" s="116"/>
    </row>
    <row r="114" ht="15.75" customHeight="1">
      <c r="E114" s="112"/>
      <c r="F114" s="52" t="str">
        <f t="shared" si="12"/>
        <v/>
      </c>
      <c r="G114" s="52"/>
      <c r="H114" s="52"/>
      <c r="I114" s="52"/>
      <c r="J114" s="52"/>
      <c r="K114" s="52"/>
      <c r="L114" s="52"/>
      <c r="M114" s="113"/>
      <c r="N114" s="113"/>
      <c r="V114" s="52" t="str">
        <f t="shared" si="5"/>
        <v/>
      </c>
      <c r="W114" s="52"/>
      <c r="X114" s="52"/>
      <c r="Y114" s="52"/>
      <c r="Z114" s="52"/>
      <c r="AA114" s="52"/>
      <c r="AB114" s="114"/>
      <c r="AC114" s="56"/>
      <c r="AD114" s="115"/>
      <c r="AE114" s="116"/>
    </row>
    <row r="115" ht="15.75" customHeight="1">
      <c r="E115" s="112"/>
      <c r="F115" s="52" t="str">
        <f t="shared" si="12"/>
        <v/>
      </c>
      <c r="G115" s="52"/>
      <c r="H115" s="52"/>
      <c r="I115" s="52"/>
      <c r="J115" s="52"/>
      <c r="K115" s="52"/>
      <c r="L115" s="52"/>
      <c r="M115" s="113"/>
      <c r="N115" s="113"/>
      <c r="V115" s="52" t="str">
        <f t="shared" si="5"/>
        <v/>
      </c>
      <c r="W115" s="52"/>
      <c r="X115" s="52"/>
      <c r="Y115" s="52"/>
      <c r="Z115" s="52"/>
      <c r="AA115" s="52"/>
      <c r="AB115" s="114"/>
      <c r="AC115" s="56"/>
      <c r="AD115" s="115"/>
      <c r="AE115" s="116"/>
    </row>
    <row r="116" ht="15.75" customHeight="1">
      <c r="E116" s="112"/>
      <c r="F116" s="52" t="str">
        <f t="shared" si="12"/>
        <v/>
      </c>
      <c r="G116" s="52"/>
      <c r="H116" s="52"/>
      <c r="I116" s="52"/>
      <c r="J116" s="52"/>
      <c r="K116" s="52"/>
      <c r="L116" s="52"/>
      <c r="M116" s="113"/>
      <c r="N116" s="113"/>
      <c r="V116" s="52" t="str">
        <f t="shared" si="5"/>
        <v/>
      </c>
      <c r="W116" s="52"/>
      <c r="X116" s="52"/>
      <c r="Y116" s="52"/>
      <c r="Z116" s="52"/>
      <c r="AA116" s="52"/>
      <c r="AB116" s="114"/>
      <c r="AC116" s="56"/>
      <c r="AD116" s="115"/>
      <c r="AE116" s="116"/>
    </row>
    <row r="117" ht="15.75" customHeight="1">
      <c r="E117" s="112"/>
      <c r="F117" s="52" t="str">
        <f t="shared" si="12"/>
        <v/>
      </c>
      <c r="G117" s="52"/>
      <c r="H117" s="52"/>
      <c r="I117" s="52"/>
      <c r="J117" s="52"/>
      <c r="K117" s="52"/>
      <c r="L117" s="52"/>
      <c r="M117" s="113"/>
      <c r="N117" s="113"/>
      <c r="V117" s="52" t="str">
        <f t="shared" si="5"/>
        <v/>
      </c>
      <c r="W117" s="52"/>
      <c r="X117" s="52"/>
      <c r="Y117" s="52"/>
      <c r="Z117" s="52"/>
      <c r="AA117" s="52"/>
      <c r="AB117" s="114"/>
      <c r="AC117" s="56"/>
      <c r="AD117" s="115"/>
      <c r="AE117" s="116"/>
    </row>
    <row r="118" ht="15.75" customHeight="1">
      <c r="E118" s="112"/>
      <c r="F118" s="52" t="str">
        <f t="shared" si="12"/>
        <v/>
      </c>
      <c r="G118" s="52"/>
      <c r="H118" s="52"/>
      <c r="I118" s="52"/>
      <c r="J118" s="52"/>
      <c r="K118" s="52"/>
      <c r="L118" s="52"/>
      <c r="M118" s="113"/>
      <c r="N118" s="113"/>
      <c r="V118" s="52" t="str">
        <f t="shared" si="5"/>
        <v/>
      </c>
      <c r="W118" s="52"/>
      <c r="X118" s="52"/>
      <c r="Y118" s="52"/>
      <c r="Z118" s="52"/>
      <c r="AA118" s="52"/>
      <c r="AB118" s="114"/>
      <c r="AC118" s="56"/>
      <c r="AD118" s="115"/>
      <c r="AE118" s="116"/>
    </row>
    <row r="119" ht="15.75" customHeight="1">
      <c r="E119" s="112"/>
      <c r="F119" s="52" t="str">
        <f t="shared" si="12"/>
        <v/>
      </c>
      <c r="G119" s="52"/>
      <c r="H119" s="52"/>
      <c r="I119" s="52"/>
      <c r="J119" s="52"/>
      <c r="K119" s="52"/>
      <c r="L119" s="52"/>
      <c r="M119" s="113"/>
      <c r="N119" s="113"/>
      <c r="V119" s="52" t="str">
        <f t="shared" si="5"/>
        <v/>
      </c>
      <c r="W119" s="52"/>
      <c r="X119" s="52"/>
      <c r="Y119" s="52"/>
      <c r="Z119" s="52"/>
      <c r="AA119" s="52"/>
      <c r="AB119" s="114"/>
      <c r="AC119" s="56"/>
      <c r="AD119" s="115"/>
      <c r="AE119" s="116"/>
    </row>
    <row r="120" ht="15.75" customHeight="1">
      <c r="E120" s="112"/>
      <c r="F120" s="52" t="str">
        <f t="shared" si="12"/>
        <v/>
      </c>
      <c r="G120" s="52"/>
      <c r="H120" s="52"/>
      <c r="I120" s="52"/>
      <c r="J120" s="52"/>
      <c r="K120" s="52"/>
      <c r="L120" s="52"/>
      <c r="M120" s="113"/>
      <c r="N120" s="113"/>
      <c r="V120" s="52" t="str">
        <f t="shared" si="5"/>
        <v/>
      </c>
      <c r="W120" s="52"/>
      <c r="X120" s="52"/>
      <c r="Y120" s="52"/>
      <c r="Z120" s="52"/>
      <c r="AA120" s="52"/>
      <c r="AB120" s="114"/>
      <c r="AC120" s="56"/>
      <c r="AD120" s="115"/>
      <c r="AE120" s="116"/>
    </row>
    <row r="121" ht="15.75" customHeight="1">
      <c r="E121" s="112"/>
      <c r="F121" s="52" t="str">
        <f t="shared" si="12"/>
        <v/>
      </c>
      <c r="G121" s="52"/>
      <c r="H121" s="52"/>
      <c r="I121" s="52"/>
      <c r="J121" s="52"/>
      <c r="K121" s="52"/>
      <c r="L121" s="52"/>
      <c r="M121" s="113"/>
      <c r="N121" s="113"/>
      <c r="V121" s="52" t="str">
        <f t="shared" si="5"/>
        <v/>
      </c>
      <c r="W121" s="52"/>
      <c r="X121" s="52"/>
      <c r="Y121" s="52"/>
      <c r="Z121" s="52"/>
      <c r="AA121" s="52"/>
      <c r="AB121" s="114"/>
      <c r="AC121" s="56"/>
      <c r="AD121" s="115"/>
      <c r="AE121" s="116"/>
    </row>
    <row r="122" ht="15.75" customHeight="1">
      <c r="E122" s="112"/>
      <c r="F122" s="52" t="str">
        <f t="shared" si="12"/>
        <v/>
      </c>
      <c r="G122" s="52"/>
      <c r="H122" s="52"/>
      <c r="I122" s="52"/>
      <c r="J122" s="52"/>
      <c r="K122" s="52"/>
      <c r="L122" s="52"/>
      <c r="M122" s="113"/>
      <c r="N122" s="113"/>
      <c r="V122" s="52" t="str">
        <f t="shared" si="5"/>
        <v/>
      </c>
      <c r="W122" s="52"/>
      <c r="X122" s="52"/>
      <c r="Y122" s="52"/>
      <c r="Z122" s="52"/>
      <c r="AA122" s="52"/>
      <c r="AB122" s="114"/>
      <c r="AC122" s="56"/>
      <c r="AD122" s="115"/>
      <c r="AE122" s="116"/>
    </row>
    <row r="123" ht="15.75" customHeight="1">
      <c r="E123" s="112"/>
      <c r="F123" s="52" t="str">
        <f t="shared" si="12"/>
        <v/>
      </c>
      <c r="G123" s="52"/>
      <c r="H123" s="52"/>
      <c r="I123" s="52"/>
      <c r="J123" s="52"/>
      <c r="K123" s="52"/>
      <c r="L123" s="52"/>
      <c r="M123" s="113"/>
      <c r="N123" s="113"/>
      <c r="V123" s="52" t="str">
        <f t="shared" si="5"/>
        <v/>
      </c>
      <c r="W123" s="52"/>
      <c r="X123" s="52"/>
      <c r="Y123" s="52"/>
      <c r="Z123" s="52"/>
      <c r="AA123" s="52"/>
      <c r="AB123" s="114"/>
      <c r="AC123" s="56"/>
      <c r="AD123" s="115"/>
      <c r="AE123" s="116"/>
    </row>
    <row r="124" ht="15.75" customHeight="1">
      <c r="E124" s="112"/>
      <c r="F124" s="52" t="str">
        <f t="shared" si="12"/>
        <v/>
      </c>
      <c r="G124" s="52"/>
      <c r="H124" s="52"/>
      <c r="I124" s="52"/>
      <c r="J124" s="52"/>
      <c r="K124" s="52"/>
      <c r="L124" s="52"/>
      <c r="M124" s="113"/>
      <c r="N124" s="113"/>
      <c r="V124" s="52" t="str">
        <f t="shared" si="5"/>
        <v/>
      </c>
      <c r="W124" s="52"/>
      <c r="X124" s="52"/>
      <c r="Y124" s="52"/>
      <c r="Z124" s="52"/>
      <c r="AA124" s="52"/>
      <c r="AB124" s="114"/>
      <c r="AC124" s="56"/>
      <c r="AD124" s="115"/>
      <c r="AE124" s="116"/>
    </row>
    <row r="125" ht="15.75" customHeight="1">
      <c r="E125" s="112"/>
      <c r="F125" s="52" t="str">
        <f t="shared" si="12"/>
        <v/>
      </c>
      <c r="G125" s="52"/>
      <c r="H125" s="52"/>
      <c r="I125" s="52"/>
      <c r="J125" s="52"/>
      <c r="K125" s="52"/>
      <c r="L125" s="52"/>
      <c r="M125" s="113"/>
      <c r="N125" s="113"/>
      <c r="V125" s="52" t="str">
        <f t="shared" si="5"/>
        <v/>
      </c>
      <c r="W125" s="52"/>
      <c r="X125" s="52"/>
      <c r="Y125" s="52"/>
      <c r="Z125" s="52"/>
      <c r="AA125" s="52"/>
      <c r="AB125" s="114"/>
      <c r="AC125" s="56"/>
      <c r="AD125" s="115"/>
      <c r="AE125" s="116"/>
    </row>
    <row r="126" ht="15.75" customHeight="1">
      <c r="E126" s="112"/>
      <c r="F126" s="52" t="str">
        <f t="shared" si="12"/>
        <v/>
      </c>
      <c r="G126" s="52"/>
      <c r="H126" s="52"/>
      <c r="I126" s="52"/>
      <c r="J126" s="52"/>
      <c r="K126" s="52"/>
      <c r="L126" s="52"/>
      <c r="M126" s="113"/>
      <c r="N126" s="113"/>
      <c r="V126" s="52" t="str">
        <f t="shared" si="5"/>
        <v/>
      </c>
      <c r="W126" s="52"/>
      <c r="X126" s="52"/>
      <c r="Y126" s="52"/>
      <c r="Z126" s="52"/>
      <c r="AA126" s="52"/>
      <c r="AB126" s="114"/>
      <c r="AC126" s="56"/>
      <c r="AD126" s="115"/>
      <c r="AE126" s="116"/>
    </row>
    <row r="127" ht="15.75" customHeight="1">
      <c r="E127" s="112"/>
      <c r="F127" s="52" t="str">
        <f t="shared" si="12"/>
        <v/>
      </c>
      <c r="G127" s="52"/>
      <c r="H127" s="52"/>
      <c r="I127" s="52"/>
      <c r="J127" s="52"/>
      <c r="K127" s="52"/>
      <c r="L127" s="52"/>
      <c r="M127" s="113"/>
      <c r="N127" s="113"/>
      <c r="V127" s="52" t="str">
        <f t="shared" si="5"/>
        <v/>
      </c>
      <c r="W127" s="52"/>
      <c r="X127" s="52"/>
      <c r="Y127" s="52"/>
      <c r="Z127" s="52"/>
      <c r="AA127" s="52"/>
      <c r="AB127" s="114"/>
      <c r="AC127" s="56"/>
      <c r="AD127" s="115"/>
      <c r="AE127" s="116"/>
    </row>
    <row r="128" ht="15.75" customHeight="1">
      <c r="E128" s="112"/>
      <c r="F128" s="52" t="str">
        <f t="shared" si="12"/>
        <v/>
      </c>
      <c r="G128" s="52"/>
      <c r="H128" s="52"/>
      <c r="I128" s="52"/>
      <c r="J128" s="52"/>
      <c r="K128" s="52"/>
      <c r="L128" s="52"/>
      <c r="M128" s="113"/>
      <c r="N128" s="113"/>
      <c r="V128" s="52" t="str">
        <f t="shared" si="5"/>
        <v/>
      </c>
      <c r="W128" s="52"/>
      <c r="X128" s="52"/>
      <c r="Y128" s="52"/>
      <c r="Z128" s="52"/>
      <c r="AA128" s="52"/>
      <c r="AB128" s="114"/>
      <c r="AC128" s="56"/>
      <c r="AD128" s="115"/>
      <c r="AE128" s="116"/>
    </row>
    <row r="129" ht="15.75" customHeight="1">
      <c r="E129" s="112"/>
      <c r="F129" s="52" t="str">
        <f t="shared" si="12"/>
        <v/>
      </c>
      <c r="G129" s="52"/>
      <c r="H129" s="52"/>
      <c r="I129" s="52"/>
      <c r="J129" s="52"/>
      <c r="K129" s="52"/>
      <c r="L129" s="52"/>
      <c r="M129" s="113"/>
      <c r="N129" s="113"/>
      <c r="V129" s="52" t="str">
        <f t="shared" si="5"/>
        <v/>
      </c>
      <c r="W129" s="52"/>
      <c r="X129" s="52"/>
      <c r="Y129" s="52"/>
      <c r="Z129" s="52"/>
      <c r="AA129" s="52"/>
      <c r="AB129" s="114"/>
      <c r="AC129" s="56"/>
      <c r="AD129" s="115"/>
      <c r="AE129" s="116"/>
    </row>
    <row r="130" ht="15.75" customHeight="1">
      <c r="E130" s="112"/>
      <c r="F130" s="52" t="str">
        <f t="shared" si="12"/>
        <v/>
      </c>
      <c r="G130" s="52"/>
      <c r="H130" s="52"/>
      <c r="I130" s="52"/>
      <c r="J130" s="52"/>
      <c r="K130" s="52"/>
      <c r="L130" s="52"/>
      <c r="M130" s="113"/>
      <c r="N130" s="113"/>
      <c r="V130" s="52" t="str">
        <f t="shared" si="5"/>
        <v/>
      </c>
      <c r="W130" s="52"/>
      <c r="X130" s="52"/>
      <c r="Y130" s="52"/>
      <c r="Z130" s="52"/>
      <c r="AA130" s="52"/>
      <c r="AB130" s="114"/>
      <c r="AC130" s="56"/>
      <c r="AD130" s="115"/>
      <c r="AE130" s="116"/>
    </row>
    <row r="131" ht="15.75" customHeight="1">
      <c r="E131" s="112"/>
      <c r="F131" s="52" t="str">
        <f t="shared" si="12"/>
        <v/>
      </c>
      <c r="G131" s="52"/>
      <c r="H131" s="52"/>
      <c r="I131" s="52"/>
      <c r="J131" s="52"/>
      <c r="K131" s="52"/>
      <c r="L131" s="52"/>
      <c r="M131" s="113"/>
      <c r="N131" s="113"/>
      <c r="V131" s="52" t="str">
        <f t="shared" si="5"/>
        <v/>
      </c>
      <c r="W131" s="52"/>
      <c r="X131" s="52"/>
      <c r="Y131" s="52"/>
      <c r="Z131" s="52"/>
      <c r="AA131" s="52"/>
      <c r="AB131" s="114"/>
      <c r="AC131" s="56"/>
      <c r="AD131" s="115"/>
      <c r="AE131" s="116"/>
    </row>
    <row r="132" ht="15.75" customHeight="1">
      <c r="E132" s="112"/>
      <c r="F132" s="52" t="str">
        <f t="shared" si="12"/>
        <v/>
      </c>
      <c r="G132" s="52"/>
      <c r="H132" s="52"/>
      <c r="I132" s="52"/>
      <c r="J132" s="52"/>
      <c r="K132" s="52"/>
      <c r="L132" s="52"/>
      <c r="M132" s="113"/>
      <c r="N132" s="113"/>
      <c r="V132" s="52" t="str">
        <f t="shared" si="5"/>
        <v/>
      </c>
      <c r="W132" s="52"/>
      <c r="X132" s="52"/>
      <c r="Y132" s="52"/>
      <c r="Z132" s="52"/>
      <c r="AA132" s="52"/>
      <c r="AB132" s="114"/>
      <c r="AC132" s="56"/>
      <c r="AD132" s="115"/>
      <c r="AE132" s="116"/>
    </row>
    <row r="133" ht="15.75" customHeight="1">
      <c r="E133" s="112"/>
      <c r="F133" s="52" t="str">
        <f t="shared" si="12"/>
        <v/>
      </c>
      <c r="G133" s="52"/>
      <c r="H133" s="52"/>
      <c r="I133" s="52"/>
      <c r="J133" s="52"/>
      <c r="K133" s="52"/>
      <c r="L133" s="52"/>
      <c r="M133" s="113"/>
      <c r="N133" s="113"/>
      <c r="V133" s="52" t="str">
        <f t="shared" si="5"/>
        <v/>
      </c>
      <c r="W133" s="52"/>
      <c r="X133" s="52"/>
      <c r="Y133" s="52"/>
      <c r="Z133" s="52"/>
      <c r="AA133" s="52"/>
      <c r="AB133" s="114"/>
      <c r="AC133" s="56"/>
      <c r="AD133" s="115"/>
      <c r="AE133" s="116"/>
    </row>
    <row r="134" ht="15.75" customHeight="1">
      <c r="E134" s="112"/>
      <c r="F134" s="52" t="str">
        <f t="shared" si="12"/>
        <v/>
      </c>
      <c r="G134" s="52"/>
      <c r="H134" s="52"/>
      <c r="I134" s="52"/>
      <c r="J134" s="52"/>
      <c r="K134" s="52"/>
      <c r="L134" s="52"/>
      <c r="M134" s="113"/>
      <c r="N134" s="113"/>
      <c r="V134" s="52" t="str">
        <f t="shared" si="5"/>
        <v/>
      </c>
      <c r="W134" s="52"/>
      <c r="X134" s="52"/>
      <c r="Y134" s="52"/>
      <c r="Z134" s="52"/>
      <c r="AA134" s="52"/>
      <c r="AB134" s="114"/>
      <c r="AC134" s="56"/>
      <c r="AD134" s="115"/>
      <c r="AE134" s="116"/>
    </row>
    <row r="135" ht="15.75" customHeight="1">
      <c r="E135" s="112"/>
      <c r="F135" s="52" t="str">
        <f t="shared" si="12"/>
        <v/>
      </c>
      <c r="G135" s="52"/>
      <c r="H135" s="52"/>
      <c r="I135" s="52"/>
      <c r="J135" s="52"/>
      <c r="K135" s="52"/>
      <c r="L135" s="52"/>
      <c r="M135" s="113"/>
      <c r="N135" s="113"/>
      <c r="V135" s="52" t="str">
        <f t="shared" si="5"/>
        <v/>
      </c>
      <c r="W135" s="52"/>
      <c r="X135" s="52"/>
      <c r="Y135" s="52"/>
      <c r="Z135" s="52"/>
      <c r="AA135" s="52"/>
      <c r="AB135" s="114"/>
      <c r="AC135" s="56"/>
      <c r="AD135" s="115"/>
      <c r="AE135" s="116"/>
    </row>
    <row r="136" ht="15.75" customHeight="1">
      <c r="E136" s="112"/>
      <c r="F136" s="52" t="str">
        <f t="shared" si="12"/>
        <v/>
      </c>
      <c r="G136" s="52"/>
      <c r="H136" s="52"/>
      <c r="I136" s="52"/>
      <c r="J136" s="52"/>
      <c r="K136" s="52"/>
      <c r="L136" s="52"/>
      <c r="M136" s="113"/>
      <c r="N136" s="113"/>
      <c r="V136" s="52" t="str">
        <f t="shared" si="5"/>
        <v/>
      </c>
      <c r="W136" s="52"/>
      <c r="X136" s="52"/>
      <c r="Y136" s="52"/>
      <c r="Z136" s="52"/>
      <c r="AA136" s="52"/>
      <c r="AB136" s="114"/>
      <c r="AC136" s="56"/>
      <c r="AD136" s="115"/>
      <c r="AE136" s="116"/>
    </row>
    <row r="137" ht="15.75" customHeight="1">
      <c r="E137" s="112"/>
      <c r="F137" s="52" t="str">
        <f t="shared" si="12"/>
        <v/>
      </c>
      <c r="G137" s="52"/>
      <c r="H137" s="52"/>
      <c r="I137" s="52"/>
      <c r="J137" s="52"/>
      <c r="K137" s="52"/>
      <c r="L137" s="52"/>
      <c r="M137" s="113"/>
      <c r="N137" s="113"/>
      <c r="V137" s="52" t="str">
        <f t="shared" si="5"/>
        <v/>
      </c>
      <c r="W137" s="52"/>
      <c r="X137" s="52"/>
      <c r="Y137" s="52"/>
      <c r="Z137" s="52"/>
      <c r="AA137" s="52"/>
      <c r="AB137" s="114"/>
      <c r="AC137" s="56"/>
      <c r="AD137" s="115"/>
      <c r="AE137" s="116"/>
    </row>
    <row r="138" ht="15.75" customHeight="1">
      <c r="E138" s="112"/>
      <c r="F138" s="52" t="str">
        <f t="shared" si="12"/>
        <v/>
      </c>
      <c r="G138" s="52"/>
      <c r="H138" s="52"/>
      <c r="I138" s="52"/>
      <c r="J138" s="52"/>
      <c r="K138" s="52"/>
      <c r="L138" s="52"/>
      <c r="M138" s="113"/>
      <c r="N138" s="113"/>
      <c r="V138" s="52" t="str">
        <f t="shared" si="5"/>
        <v/>
      </c>
      <c r="W138" s="52"/>
      <c r="X138" s="52"/>
      <c r="Y138" s="52"/>
      <c r="Z138" s="52"/>
      <c r="AA138" s="52"/>
      <c r="AB138" s="114"/>
      <c r="AC138" s="56"/>
      <c r="AD138" s="115"/>
      <c r="AE138" s="116"/>
    </row>
    <row r="139" ht="15.75" customHeight="1">
      <c r="E139" s="112"/>
      <c r="F139" s="52" t="str">
        <f t="shared" si="12"/>
        <v/>
      </c>
      <c r="G139" s="52"/>
      <c r="H139" s="52"/>
      <c r="I139" s="52"/>
      <c r="J139" s="52"/>
      <c r="K139" s="52"/>
      <c r="L139" s="52"/>
      <c r="M139" s="113"/>
      <c r="N139" s="113"/>
      <c r="V139" s="52" t="str">
        <f t="shared" si="5"/>
        <v/>
      </c>
      <c r="W139" s="52"/>
      <c r="X139" s="52"/>
      <c r="Y139" s="52"/>
      <c r="Z139" s="52"/>
      <c r="AA139" s="52"/>
      <c r="AB139" s="114"/>
      <c r="AC139" s="56"/>
      <c r="AD139" s="115"/>
      <c r="AE139" s="116"/>
    </row>
    <row r="140" ht="15.75" customHeight="1">
      <c r="E140" s="112"/>
      <c r="F140" s="52" t="str">
        <f t="shared" si="12"/>
        <v/>
      </c>
      <c r="G140" s="52"/>
      <c r="H140" s="52"/>
      <c r="I140" s="52"/>
      <c r="J140" s="52"/>
      <c r="K140" s="52"/>
      <c r="L140" s="52"/>
      <c r="M140" s="113"/>
      <c r="N140" s="113"/>
      <c r="V140" s="52" t="str">
        <f t="shared" si="5"/>
        <v/>
      </c>
      <c r="W140" s="52"/>
      <c r="X140" s="52"/>
      <c r="Y140" s="52"/>
      <c r="Z140" s="52"/>
      <c r="AA140" s="52"/>
      <c r="AB140" s="114"/>
      <c r="AC140" s="56"/>
      <c r="AD140" s="115"/>
      <c r="AE140" s="116"/>
    </row>
    <row r="141" ht="15.75" customHeight="1">
      <c r="E141" s="112"/>
      <c r="F141" s="52" t="str">
        <f t="shared" si="12"/>
        <v/>
      </c>
      <c r="G141" s="52"/>
      <c r="H141" s="52"/>
      <c r="I141" s="52"/>
      <c r="J141" s="52"/>
      <c r="K141" s="52"/>
      <c r="L141" s="52"/>
      <c r="M141" s="113"/>
      <c r="N141" s="113"/>
      <c r="V141" s="52" t="str">
        <f t="shared" si="5"/>
        <v/>
      </c>
      <c r="W141" s="52"/>
      <c r="X141" s="52"/>
      <c r="Y141" s="52"/>
      <c r="Z141" s="52"/>
      <c r="AA141" s="52"/>
      <c r="AB141" s="114"/>
      <c r="AC141" s="56"/>
      <c r="AD141" s="115"/>
      <c r="AE141" s="116"/>
    </row>
    <row r="142" ht="15.75" customHeight="1">
      <c r="E142" s="112"/>
      <c r="F142" s="52" t="str">
        <f t="shared" si="12"/>
        <v/>
      </c>
      <c r="G142" s="52"/>
      <c r="H142" s="52"/>
      <c r="I142" s="52"/>
      <c r="J142" s="52"/>
      <c r="K142" s="52"/>
      <c r="L142" s="52"/>
      <c r="M142" s="113"/>
      <c r="N142" s="113"/>
      <c r="V142" s="52" t="str">
        <f t="shared" si="5"/>
        <v/>
      </c>
      <c r="W142" s="52"/>
      <c r="X142" s="52"/>
      <c r="Y142" s="52"/>
      <c r="Z142" s="52"/>
      <c r="AA142" s="52"/>
      <c r="AB142" s="114"/>
      <c r="AC142" s="56"/>
      <c r="AD142" s="115"/>
      <c r="AE142" s="116"/>
    </row>
    <row r="143" ht="15.75" customHeight="1">
      <c r="E143" s="112"/>
      <c r="F143" s="52" t="str">
        <f t="shared" si="12"/>
        <v/>
      </c>
      <c r="G143" s="52"/>
      <c r="H143" s="52"/>
      <c r="I143" s="52"/>
      <c r="J143" s="52"/>
      <c r="K143" s="52"/>
      <c r="L143" s="52"/>
      <c r="M143" s="113"/>
      <c r="N143" s="113"/>
      <c r="V143" s="52" t="str">
        <f t="shared" si="5"/>
        <v/>
      </c>
      <c r="W143" s="52"/>
      <c r="X143" s="52"/>
      <c r="Y143" s="52"/>
      <c r="Z143" s="52"/>
      <c r="AA143" s="52"/>
      <c r="AB143" s="114"/>
      <c r="AC143" s="56"/>
      <c r="AD143" s="115"/>
      <c r="AE143" s="116"/>
    </row>
    <row r="144" ht="15.75" customHeight="1">
      <c r="E144" s="112"/>
      <c r="F144" s="52" t="str">
        <f t="shared" si="12"/>
        <v/>
      </c>
      <c r="G144" s="52"/>
      <c r="H144" s="52"/>
      <c r="I144" s="52"/>
      <c r="J144" s="52"/>
      <c r="K144" s="52"/>
      <c r="L144" s="52"/>
      <c r="M144" s="113"/>
      <c r="N144" s="113"/>
      <c r="V144" s="52" t="str">
        <f t="shared" si="5"/>
        <v/>
      </c>
      <c r="W144" s="52"/>
      <c r="X144" s="52"/>
      <c r="Y144" s="52"/>
      <c r="Z144" s="52"/>
      <c r="AA144" s="52"/>
      <c r="AB144" s="114"/>
      <c r="AC144" s="56"/>
      <c r="AD144" s="115"/>
      <c r="AE144" s="116"/>
    </row>
    <row r="145" ht="15.75" customHeight="1">
      <c r="E145" s="112"/>
      <c r="F145" s="52" t="str">
        <f t="shared" si="12"/>
        <v/>
      </c>
      <c r="G145" s="52"/>
      <c r="H145" s="52"/>
      <c r="I145" s="52"/>
      <c r="J145" s="52"/>
      <c r="K145" s="52"/>
      <c r="L145" s="52"/>
      <c r="M145" s="113"/>
      <c r="N145" s="113"/>
      <c r="V145" s="52" t="str">
        <f t="shared" si="5"/>
        <v/>
      </c>
      <c r="W145" s="52"/>
      <c r="X145" s="52"/>
      <c r="Y145" s="52"/>
      <c r="Z145" s="52"/>
      <c r="AA145" s="52"/>
      <c r="AB145" s="114"/>
      <c r="AC145" s="56"/>
      <c r="AD145" s="115"/>
      <c r="AE145" s="116"/>
    </row>
    <row r="146" ht="15.75" customHeight="1">
      <c r="E146" s="112"/>
      <c r="F146" s="52" t="str">
        <f t="shared" si="12"/>
        <v/>
      </c>
      <c r="G146" s="52"/>
      <c r="H146" s="52"/>
      <c r="I146" s="52"/>
      <c r="J146" s="52"/>
      <c r="K146" s="52"/>
      <c r="L146" s="52"/>
      <c r="M146" s="113"/>
      <c r="N146" s="113"/>
      <c r="V146" s="52" t="str">
        <f t="shared" si="5"/>
        <v/>
      </c>
      <c r="W146" s="52"/>
      <c r="X146" s="52"/>
      <c r="Y146" s="52"/>
      <c r="Z146" s="52"/>
      <c r="AA146" s="52"/>
      <c r="AB146" s="114"/>
      <c r="AC146" s="56"/>
      <c r="AD146" s="115"/>
      <c r="AE146" s="116"/>
    </row>
    <row r="147" ht="15.75" customHeight="1">
      <c r="E147" s="112"/>
      <c r="F147" s="52" t="str">
        <f t="shared" si="12"/>
        <v/>
      </c>
      <c r="G147" s="52"/>
      <c r="H147" s="52"/>
      <c r="I147" s="52"/>
      <c r="J147" s="52"/>
      <c r="K147" s="52"/>
      <c r="L147" s="52"/>
      <c r="M147" s="113"/>
      <c r="N147" s="113"/>
      <c r="V147" s="52" t="str">
        <f t="shared" si="5"/>
        <v/>
      </c>
      <c r="W147" s="52"/>
      <c r="X147" s="52"/>
      <c r="Y147" s="52"/>
      <c r="Z147" s="52"/>
      <c r="AA147" s="52"/>
      <c r="AB147" s="114"/>
      <c r="AC147" s="56"/>
      <c r="AD147" s="115"/>
      <c r="AE147" s="116"/>
    </row>
    <row r="148" ht="15.75" customHeight="1">
      <c r="E148" s="112"/>
      <c r="F148" s="52" t="str">
        <f t="shared" si="12"/>
        <v/>
      </c>
      <c r="G148" s="52"/>
      <c r="H148" s="52"/>
      <c r="I148" s="52"/>
      <c r="J148" s="52"/>
      <c r="K148" s="52"/>
      <c r="L148" s="52"/>
      <c r="M148" s="113"/>
      <c r="N148" s="113"/>
      <c r="V148" s="52" t="str">
        <f t="shared" si="5"/>
        <v/>
      </c>
      <c r="W148" s="52"/>
      <c r="X148" s="52"/>
      <c r="Y148" s="52"/>
      <c r="Z148" s="52"/>
      <c r="AA148" s="52"/>
      <c r="AB148" s="114"/>
      <c r="AC148" s="56"/>
      <c r="AD148" s="115"/>
      <c r="AE148" s="116"/>
    </row>
    <row r="149" ht="15.75" customHeight="1">
      <c r="E149" s="112"/>
      <c r="F149" s="52" t="str">
        <f t="shared" si="12"/>
        <v/>
      </c>
      <c r="G149" s="52"/>
      <c r="H149" s="52"/>
      <c r="I149" s="52"/>
      <c r="J149" s="52"/>
      <c r="K149" s="52"/>
      <c r="L149" s="52"/>
      <c r="M149" s="113"/>
      <c r="N149" s="113"/>
      <c r="V149" s="52" t="str">
        <f t="shared" si="5"/>
        <v/>
      </c>
      <c r="W149" s="52"/>
      <c r="X149" s="52"/>
      <c r="Y149" s="52"/>
      <c r="Z149" s="52"/>
      <c r="AA149" s="52"/>
      <c r="AB149" s="114"/>
      <c r="AC149" s="56"/>
      <c r="AD149" s="115"/>
      <c r="AE149" s="116"/>
    </row>
    <row r="150" ht="15.75" customHeight="1">
      <c r="E150" s="112"/>
      <c r="F150" s="52" t="str">
        <f t="shared" si="12"/>
        <v/>
      </c>
      <c r="G150" s="52"/>
      <c r="H150" s="52"/>
      <c r="I150" s="52"/>
      <c r="J150" s="52"/>
      <c r="K150" s="52"/>
      <c r="L150" s="52"/>
      <c r="M150" s="113"/>
      <c r="N150" s="113"/>
      <c r="V150" s="52" t="str">
        <f t="shared" si="5"/>
        <v/>
      </c>
      <c r="W150" s="52"/>
      <c r="X150" s="52"/>
      <c r="Y150" s="52"/>
      <c r="Z150" s="52"/>
      <c r="AA150" s="52"/>
      <c r="AB150" s="114"/>
      <c r="AC150" s="56"/>
      <c r="AD150" s="115"/>
      <c r="AE150" s="116"/>
    </row>
    <row r="151" ht="15.75" customHeight="1">
      <c r="E151" s="112"/>
      <c r="F151" s="52" t="str">
        <f t="shared" si="12"/>
        <v/>
      </c>
      <c r="G151" s="52"/>
      <c r="H151" s="52"/>
      <c r="I151" s="52"/>
      <c r="J151" s="52"/>
      <c r="K151" s="52"/>
      <c r="L151" s="52"/>
      <c r="M151" s="113"/>
      <c r="N151" s="113"/>
      <c r="V151" s="52" t="str">
        <f t="shared" si="5"/>
        <v/>
      </c>
      <c r="W151" s="52"/>
      <c r="X151" s="52"/>
      <c r="Y151" s="52"/>
      <c r="Z151" s="52"/>
      <c r="AA151" s="52"/>
      <c r="AB151" s="114"/>
      <c r="AC151" s="56"/>
      <c r="AD151" s="115"/>
      <c r="AE151" s="116"/>
    </row>
    <row r="152" ht="15.75" customHeight="1">
      <c r="E152" s="112"/>
      <c r="F152" s="52" t="str">
        <f t="shared" si="12"/>
        <v/>
      </c>
      <c r="G152" s="52"/>
      <c r="H152" s="52"/>
      <c r="I152" s="52"/>
      <c r="J152" s="52"/>
      <c r="K152" s="52"/>
      <c r="L152" s="52"/>
      <c r="M152" s="113"/>
      <c r="N152" s="113"/>
      <c r="V152" s="52" t="str">
        <f t="shared" si="5"/>
        <v/>
      </c>
      <c r="W152" s="52"/>
      <c r="X152" s="52"/>
      <c r="Y152" s="52"/>
      <c r="Z152" s="52"/>
      <c r="AA152" s="52"/>
      <c r="AB152" s="114"/>
      <c r="AC152" s="56"/>
      <c r="AD152" s="115"/>
      <c r="AE152" s="116"/>
    </row>
    <row r="153" ht="15.75" customHeight="1">
      <c r="E153" s="112"/>
      <c r="F153" s="52" t="str">
        <f t="shared" si="12"/>
        <v/>
      </c>
      <c r="G153" s="52"/>
      <c r="H153" s="52"/>
      <c r="I153" s="52"/>
      <c r="J153" s="52"/>
      <c r="K153" s="52"/>
      <c r="L153" s="52"/>
      <c r="M153" s="113"/>
      <c r="N153" s="113"/>
      <c r="V153" s="52" t="str">
        <f t="shared" si="5"/>
        <v/>
      </c>
      <c r="W153" s="52"/>
      <c r="X153" s="52"/>
      <c r="Y153" s="52"/>
      <c r="Z153" s="52"/>
      <c r="AA153" s="52"/>
      <c r="AB153" s="114"/>
      <c r="AC153" s="56"/>
      <c r="AD153" s="115"/>
      <c r="AE153" s="116"/>
    </row>
    <row r="154" ht="15.75" customHeight="1">
      <c r="E154" s="112"/>
      <c r="F154" s="52" t="str">
        <f t="shared" si="12"/>
        <v/>
      </c>
      <c r="G154" s="52"/>
      <c r="H154" s="52"/>
      <c r="I154" s="52"/>
      <c r="J154" s="52"/>
      <c r="K154" s="52"/>
      <c r="L154" s="52"/>
      <c r="M154" s="113"/>
      <c r="N154" s="113"/>
      <c r="V154" s="52" t="str">
        <f t="shared" si="5"/>
        <v/>
      </c>
      <c r="W154" s="52"/>
      <c r="X154" s="52"/>
      <c r="Y154" s="52"/>
      <c r="Z154" s="52"/>
      <c r="AA154" s="52"/>
      <c r="AB154" s="114"/>
      <c r="AC154" s="56"/>
      <c r="AD154" s="115"/>
      <c r="AE154" s="116"/>
    </row>
    <row r="155" ht="15.75" customHeight="1">
      <c r="E155" s="112"/>
      <c r="F155" s="52" t="str">
        <f t="shared" si="12"/>
        <v/>
      </c>
      <c r="G155" s="52"/>
      <c r="H155" s="52"/>
      <c r="I155" s="52"/>
      <c r="J155" s="52"/>
      <c r="K155" s="52"/>
      <c r="L155" s="52"/>
      <c r="M155" s="113"/>
      <c r="N155" s="113"/>
      <c r="V155" s="52" t="str">
        <f t="shared" si="5"/>
        <v/>
      </c>
      <c r="W155" s="52"/>
      <c r="X155" s="52"/>
      <c r="Y155" s="52"/>
      <c r="Z155" s="52"/>
      <c r="AA155" s="52"/>
      <c r="AB155" s="114"/>
      <c r="AC155" s="56"/>
      <c r="AD155" s="115"/>
      <c r="AE155" s="116"/>
    </row>
    <row r="156" ht="15.75" customHeight="1">
      <c r="E156" s="112"/>
      <c r="F156" s="52" t="str">
        <f t="shared" si="12"/>
        <v/>
      </c>
      <c r="G156" s="52"/>
      <c r="H156" s="52"/>
      <c r="I156" s="52"/>
      <c r="J156" s="52"/>
      <c r="K156" s="52"/>
      <c r="L156" s="52"/>
      <c r="M156" s="113"/>
      <c r="N156" s="113"/>
      <c r="V156" s="52" t="str">
        <f t="shared" si="5"/>
        <v/>
      </c>
      <c r="W156" s="52"/>
      <c r="X156" s="52"/>
      <c r="Y156" s="52"/>
      <c r="Z156" s="52"/>
      <c r="AA156" s="52"/>
      <c r="AB156" s="114"/>
      <c r="AC156" s="56"/>
      <c r="AD156" s="115"/>
      <c r="AE156" s="116"/>
    </row>
    <row r="157" ht="15.75" customHeight="1">
      <c r="E157" s="112"/>
      <c r="F157" s="52" t="str">
        <f t="shared" si="12"/>
        <v/>
      </c>
      <c r="G157" s="52"/>
      <c r="H157" s="52"/>
      <c r="I157" s="52"/>
      <c r="J157" s="52"/>
      <c r="K157" s="52"/>
      <c r="L157" s="52"/>
      <c r="M157" s="113"/>
      <c r="N157" s="113"/>
      <c r="V157" s="52" t="str">
        <f t="shared" si="5"/>
        <v/>
      </c>
      <c r="W157" s="52"/>
      <c r="X157" s="52"/>
      <c r="Y157" s="52"/>
      <c r="Z157" s="52"/>
      <c r="AA157" s="52"/>
      <c r="AB157" s="114"/>
      <c r="AC157" s="56"/>
      <c r="AD157" s="115"/>
      <c r="AE157" s="116"/>
    </row>
    <row r="158" ht="15.75" customHeight="1">
      <c r="E158" s="112"/>
      <c r="F158" s="52" t="str">
        <f t="shared" si="12"/>
        <v/>
      </c>
      <c r="G158" s="52"/>
      <c r="H158" s="52"/>
      <c r="I158" s="52"/>
      <c r="J158" s="52"/>
      <c r="K158" s="52"/>
      <c r="L158" s="52"/>
      <c r="M158" s="113"/>
      <c r="N158" s="113"/>
      <c r="V158" s="52" t="str">
        <f t="shared" si="5"/>
        <v/>
      </c>
      <c r="W158" s="52"/>
      <c r="X158" s="52"/>
      <c r="Y158" s="52"/>
      <c r="Z158" s="52"/>
      <c r="AA158" s="52"/>
      <c r="AB158" s="114"/>
      <c r="AC158" s="56"/>
      <c r="AD158" s="115"/>
      <c r="AE158" s="116"/>
    </row>
    <row r="159" ht="15.75" customHeight="1">
      <c r="E159" s="112"/>
      <c r="F159" s="52" t="str">
        <f t="shared" si="12"/>
        <v/>
      </c>
      <c r="G159" s="52"/>
      <c r="H159" s="52"/>
      <c r="I159" s="52"/>
      <c r="J159" s="52"/>
      <c r="K159" s="52"/>
      <c r="L159" s="52"/>
      <c r="M159" s="113"/>
      <c r="N159" s="113"/>
      <c r="V159" s="52" t="str">
        <f t="shared" si="5"/>
        <v/>
      </c>
      <c r="W159" s="52"/>
      <c r="X159" s="52"/>
      <c r="Y159" s="52"/>
      <c r="Z159" s="52"/>
      <c r="AA159" s="52"/>
      <c r="AB159" s="114"/>
      <c r="AC159" s="56"/>
      <c r="AD159" s="115"/>
      <c r="AE159" s="116"/>
    </row>
    <row r="160" ht="15.75" customHeight="1">
      <c r="E160" s="112"/>
      <c r="F160" s="52" t="str">
        <f t="shared" si="12"/>
        <v/>
      </c>
      <c r="G160" s="52"/>
      <c r="H160" s="52"/>
      <c r="I160" s="52"/>
      <c r="J160" s="52"/>
      <c r="K160" s="52"/>
      <c r="L160" s="52"/>
      <c r="M160" s="113"/>
      <c r="N160" s="113"/>
      <c r="V160" s="52" t="str">
        <f t="shared" si="5"/>
        <v/>
      </c>
      <c r="W160" s="52"/>
      <c r="X160" s="52"/>
      <c r="Y160" s="52"/>
      <c r="Z160" s="52"/>
      <c r="AA160" s="52"/>
      <c r="AB160" s="114"/>
      <c r="AC160" s="56"/>
      <c r="AD160" s="115"/>
      <c r="AE160" s="116"/>
    </row>
    <row r="161" ht="15.75" customHeight="1">
      <c r="E161" s="112"/>
      <c r="F161" s="52" t="str">
        <f t="shared" si="12"/>
        <v/>
      </c>
      <c r="G161" s="52"/>
      <c r="H161" s="52"/>
      <c r="I161" s="52"/>
      <c r="J161" s="52"/>
      <c r="K161" s="52"/>
      <c r="L161" s="52"/>
      <c r="M161" s="113"/>
      <c r="N161" s="113"/>
      <c r="V161" s="52" t="str">
        <f t="shared" si="5"/>
        <v/>
      </c>
      <c r="W161" s="52"/>
      <c r="X161" s="52"/>
      <c r="Y161" s="52"/>
      <c r="Z161" s="52"/>
      <c r="AA161" s="52"/>
      <c r="AB161" s="114"/>
      <c r="AC161" s="56"/>
      <c r="AD161" s="115"/>
      <c r="AE161" s="116"/>
    </row>
    <row r="162" ht="15.75" customHeight="1">
      <c r="E162" s="112"/>
      <c r="F162" s="52" t="str">
        <f t="shared" si="12"/>
        <v/>
      </c>
      <c r="G162" s="52"/>
      <c r="H162" s="52"/>
      <c r="I162" s="52"/>
      <c r="J162" s="52"/>
      <c r="K162" s="52"/>
      <c r="L162" s="52"/>
      <c r="M162" s="113"/>
      <c r="N162" s="113"/>
      <c r="V162" s="52" t="str">
        <f t="shared" si="5"/>
        <v/>
      </c>
      <c r="W162" s="52"/>
      <c r="X162" s="52"/>
      <c r="Y162" s="52"/>
      <c r="Z162" s="52"/>
      <c r="AA162" s="52"/>
      <c r="AB162" s="114"/>
      <c r="AC162" s="56"/>
      <c r="AD162" s="115"/>
      <c r="AE162" s="116"/>
    </row>
    <row r="163" ht="15.75" customHeight="1">
      <c r="E163" s="112"/>
      <c r="F163" s="52" t="str">
        <f t="shared" si="12"/>
        <v/>
      </c>
      <c r="G163" s="52"/>
      <c r="H163" s="52"/>
      <c r="I163" s="52"/>
      <c r="J163" s="52"/>
      <c r="K163" s="52"/>
      <c r="L163" s="52"/>
      <c r="M163" s="113"/>
      <c r="N163" s="113"/>
      <c r="V163" s="52" t="str">
        <f t="shared" si="5"/>
        <v/>
      </c>
      <c r="W163" s="52"/>
      <c r="X163" s="52"/>
      <c r="Y163" s="52"/>
      <c r="Z163" s="52"/>
      <c r="AA163" s="52"/>
      <c r="AB163" s="114"/>
      <c r="AC163" s="56"/>
      <c r="AD163" s="115"/>
      <c r="AE163" s="116"/>
    </row>
    <row r="164" ht="15.75" customHeight="1">
      <c r="E164" s="112"/>
      <c r="F164" s="52" t="str">
        <f t="shared" si="12"/>
        <v/>
      </c>
      <c r="G164" s="52"/>
      <c r="H164" s="52"/>
      <c r="I164" s="52"/>
      <c r="J164" s="52"/>
      <c r="K164" s="52"/>
      <c r="L164" s="52"/>
      <c r="M164" s="113"/>
      <c r="N164" s="113"/>
      <c r="V164" s="52" t="str">
        <f t="shared" si="5"/>
        <v/>
      </c>
      <c r="W164" s="52"/>
      <c r="X164" s="52"/>
      <c r="Y164" s="52"/>
      <c r="Z164" s="52"/>
      <c r="AA164" s="52"/>
      <c r="AB164" s="114"/>
      <c r="AC164" s="56"/>
      <c r="AD164" s="115"/>
      <c r="AE164" s="116"/>
    </row>
    <row r="165" ht="15.75" customHeight="1">
      <c r="E165" s="112"/>
      <c r="F165" s="52" t="str">
        <f t="shared" si="12"/>
        <v/>
      </c>
      <c r="G165" s="52"/>
      <c r="H165" s="52"/>
      <c r="I165" s="52"/>
      <c r="J165" s="52"/>
      <c r="K165" s="52"/>
      <c r="L165" s="52"/>
      <c r="M165" s="113"/>
      <c r="N165" s="113"/>
      <c r="V165" s="52" t="str">
        <f t="shared" si="5"/>
        <v/>
      </c>
      <c r="W165" s="52"/>
      <c r="X165" s="52"/>
      <c r="Y165" s="52"/>
      <c r="Z165" s="52"/>
      <c r="AA165" s="52"/>
      <c r="AB165" s="114"/>
      <c r="AC165" s="56"/>
      <c r="AD165" s="115"/>
      <c r="AE165" s="116"/>
    </row>
    <row r="166" ht="15.75" customHeight="1">
      <c r="E166" s="112"/>
      <c r="F166" s="52" t="str">
        <f t="shared" si="12"/>
        <v/>
      </c>
      <c r="G166" s="52"/>
      <c r="H166" s="52"/>
      <c r="I166" s="52"/>
      <c r="J166" s="52"/>
      <c r="K166" s="52"/>
      <c r="L166" s="52"/>
      <c r="M166" s="113"/>
      <c r="N166" s="113"/>
      <c r="V166" s="52" t="str">
        <f t="shared" si="5"/>
        <v/>
      </c>
      <c r="W166" s="52"/>
      <c r="X166" s="52"/>
      <c r="Y166" s="52"/>
      <c r="Z166" s="52"/>
      <c r="AA166" s="52"/>
      <c r="AB166" s="114"/>
      <c r="AC166" s="56"/>
      <c r="AD166" s="115"/>
      <c r="AE166" s="116"/>
    </row>
    <row r="167" ht="15.75" customHeight="1">
      <c r="E167" s="112"/>
      <c r="F167" s="52" t="str">
        <f t="shared" si="12"/>
        <v/>
      </c>
      <c r="G167" s="52"/>
      <c r="H167" s="52"/>
      <c r="I167" s="52"/>
      <c r="J167" s="52"/>
      <c r="K167" s="52"/>
      <c r="L167" s="52"/>
      <c r="M167" s="113"/>
      <c r="N167" s="113"/>
      <c r="V167" s="52" t="str">
        <f t="shared" si="5"/>
        <v/>
      </c>
      <c r="W167" s="52"/>
      <c r="X167" s="52"/>
      <c r="Y167" s="52"/>
      <c r="Z167" s="52"/>
      <c r="AA167" s="52"/>
      <c r="AB167" s="114"/>
      <c r="AC167" s="56"/>
      <c r="AD167" s="115"/>
      <c r="AE167" s="116"/>
    </row>
    <row r="168" ht="15.75" customHeight="1">
      <c r="E168" s="112"/>
      <c r="F168" s="52" t="str">
        <f t="shared" si="12"/>
        <v/>
      </c>
      <c r="G168" s="52"/>
      <c r="H168" s="52"/>
      <c r="I168" s="52"/>
      <c r="J168" s="52"/>
      <c r="K168" s="52"/>
      <c r="L168" s="52"/>
      <c r="M168" s="113"/>
      <c r="N168" s="113"/>
      <c r="V168" s="52" t="str">
        <f t="shared" si="5"/>
        <v/>
      </c>
      <c r="W168" s="52"/>
      <c r="X168" s="52"/>
      <c r="Y168" s="52"/>
      <c r="Z168" s="52"/>
      <c r="AA168" s="52"/>
      <c r="AB168" s="114"/>
      <c r="AC168" s="56"/>
      <c r="AD168" s="115"/>
      <c r="AE168" s="116"/>
    </row>
    <row r="169" ht="15.75" customHeight="1">
      <c r="E169" s="112"/>
      <c r="F169" s="52" t="str">
        <f t="shared" si="12"/>
        <v/>
      </c>
      <c r="G169" s="52"/>
      <c r="H169" s="52"/>
      <c r="I169" s="52"/>
      <c r="J169" s="52"/>
      <c r="K169" s="52"/>
      <c r="L169" s="52"/>
      <c r="M169" s="113"/>
      <c r="N169" s="113"/>
      <c r="V169" s="52" t="str">
        <f t="shared" si="5"/>
        <v/>
      </c>
      <c r="W169" s="52"/>
      <c r="X169" s="52"/>
      <c r="Y169" s="52"/>
      <c r="Z169" s="52"/>
      <c r="AA169" s="52"/>
      <c r="AB169" s="114"/>
      <c r="AC169" s="56"/>
      <c r="AD169" s="115"/>
      <c r="AE169" s="116"/>
    </row>
    <row r="170" ht="15.75" customHeight="1">
      <c r="E170" s="112"/>
      <c r="F170" s="52" t="str">
        <f t="shared" si="12"/>
        <v/>
      </c>
      <c r="G170" s="52"/>
      <c r="H170" s="52"/>
      <c r="I170" s="52"/>
      <c r="J170" s="52"/>
      <c r="K170" s="52"/>
      <c r="L170" s="52"/>
      <c r="M170" s="113"/>
      <c r="N170" s="113"/>
      <c r="V170" s="52" t="str">
        <f t="shared" si="5"/>
        <v/>
      </c>
      <c r="W170" s="52"/>
      <c r="X170" s="52"/>
      <c r="Y170" s="52"/>
      <c r="Z170" s="52"/>
      <c r="AA170" s="52"/>
      <c r="AB170" s="114"/>
      <c r="AC170" s="56"/>
      <c r="AD170" s="115"/>
      <c r="AE170" s="116"/>
    </row>
    <row r="171" ht="15.75" customHeight="1">
      <c r="E171" s="112"/>
      <c r="F171" s="52" t="str">
        <f t="shared" si="12"/>
        <v/>
      </c>
      <c r="G171" s="52"/>
      <c r="H171" s="52"/>
      <c r="I171" s="52"/>
      <c r="J171" s="52"/>
      <c r="K171" s="52"/>
      <c r="L171" s="52"/>
      <c r="M171" s="113"/>
      <c r="N171" s="113"/>
      <c r="V171" s="52" t="str">
        <f t="shared" si="5"/>
        <v/>
      </c>
      <c r="W171" s="52"/>
      <c r="X171" s="52"/>
      <c r="Y171" s="52"/>
      <c r="Z171" s="52"/>
      <c r="AA171" s="52"/>
      <c r="AB171" s="114"/>
      <c r="AC171" s="56"/>
      <c r="AD171" s="115"/>
      <c r="AE171" s="116"/>
    </row>
    <row r="172" ht="15.75" customHeight="1">
      <c r="E172" s="112"/>
      <c r="F172" s="52" t="str">
        <f t="shared" si="12"/>
        <v/>
      </c>
      <c r="G172" s="52"/>
      <c r="H172" s="52"/>
      <c r="I172" s="52"/>
      <c r="J172" s="52"/>
      <c r="K172" s="52"/>
      <c r="L172" s="52"/>
      <c r="M172" s="113"/>
      <c r="N172" s="113"/>
      <c r="V172" s="52" t="str">
        <f t="shared" si="5"/>
        <v/>
      </c>
      <c r="W172" s="52"/>
      <c r="X172" s="52"/>
      <c r="Y172" s="52"/>
      <c r="Z172" s="52"/>
      <c r="AA172" s="52"/>
      <c r="AB172" s="114"/>
      <c r="AC172" s="56"/>
      <c r="AD172" s="115"/>
      <c r="AE172" s="116"/>
    </row>
    <row r="173" ht="15.75" customHeight="1">
      <c r="E173" s="112"/>
      <c r="F173" s="52" t="str">
        <f t="shared" si="12"/>
        <v/>
      </c>
      <c r="G173" s="52"/>
      <c r="H173" s="52"/>
      <c r="I173" s="52"/>
      <c r="J173" s="52"/>
      <c r="K173" s="52"/>
      <c r="L173" s="52"/>
      <c r="M173" s="113"/>
      <c r="N173" s="113"/>
      <c r="V173" s="52" t="str">
        <f t="shared" si="5"/>
        <v/>
      </c>
      <c r="W173" s="52"/>
      <c r="X173" s="52"/>
      <c r="Y173" s="52"/>
      <c r="Z173" s="52"/>
      <c r="AA173" s="52"/>
      <c r="AB173" s="114"/>
      <c r="AC173" s="56"/>
      <c r="AD173" s="115"/>
      <c r="AE173" s="116"/>
    </row>
    <row r="174" ht="15.75" customHeight="1">
      <c r="E174" s="112"/>
      <c r="F174" s="52" t="str">
        <f t="shared" si="12"/>
        <v/>
      </c>
      <c r="G174" s="52"/>
      <c r="H174" s="52"/>
      <c r="I174" s="52"/>
      <c r="J174" s="52"/>
      <c r="K174" s="52"/>
      <c r="L174" s="52"/>
      <c r="M174" s="113"/>
      <c r="N174" s="113"/>
      <c r="V174" s="52" t="str">
        <f t="shared" si="5"/>
        <v/>
      </c>
      <c r="W174" s="52"/>
      <c r="X174" s="52"/>
      <c r="Y174" s="52"/>
      <c r="Z174" s="52"/>
      <c r="AA174" s="52"/>
      <c r="AB174" s="114"/>
      <c r="AC174" s="56"/>
      <c r="AD174" s="115"/>
      <c r="AE174" s="116"/>
    </row>
    <row r="175" ht="15.75" customHeight="1">
      <c r="E175" s="112"/>
      <c r="F175" s="52" t="str">
        <f t="shared" si="12"/>
        <v/>
      </c>
      <c r="G175" s="52"/>
      <c r="H175" s="52"/>
      <c r="I175" s="52"/>
      <c r="J175" s="52"/>
      <c r="K175" s="52"/>
      <c r="L175" s="52"/>
      <c r="M175" s="113"/>
      <c r="N175" s="113"/>
      <c r="V175" s="52" t="str">
        <f t="shared" si="5"/>
        <v/>
      </c>
      <c r="W175" s="52"/>
      <c r="X175" s="52"/>
      <c r="Y175" s="52"/>
      <c r="Z175" s="52"/>
      <c r="AA175" s="52"/>
      <c r="AB175" s="114"/>
      <c r="AC175" s="56"/>
      <c r="AD175" s="115"/>
      <c r="AE175" s="116"/>
    </row>
    <row r="176" ht="15.75" customHeight="1">
      <c r="E176" s="112"/>
      <c r="F176" s="52" t="str">
        <f t="shared" si="12"/>
        <v/>
      </c>
      <c r="G176" s="52"/>
      <c r="H176" s="52"/>
      <c r="I176" s="52"/>
      <c r="J176" s="52"/>
      <c r="K176" s="52"/>
      <c r="L176" s="52"/>
      <c r="M176" s="113"/>
      <c r="N176" s="113"/>
      <c r="V176" s="52" t="str">
        <f t="shared" si="5"/>
        <v/>
      </c>
      <c r="W176" s="52"/>
      <c r="X176" s="52"/>
      <c r="Y176" s="52"/>
      <c r="Z176" s="52"/>
      <c r="AA176" s="52"/>
      <c r="AB176" s="114"/>
      <c r="AC176" s="56"/>
      <c r="AD176" s="115"/>
      <c r="AE176" s="116"/>
    </row>
    <row r="177" ht="15.75" customHeight="1">
      <c r="E177" s="112"/>
      <c r="F177" s="52" t="str">
        <f t="shared" si="12"/>
        <v/>
      </c>
      <c r="G177" s="52"/>
      <c r="H177" s="52"/>
      <c r="I177" s="52"/>
      <c r="J177" s="52"/>
      <c r="K177" s="52"/>
      <c r="L177" s="52"/>
      <c r="M177" s="113"/>
      <c r="N177" s="113"/>
      <c r="V177" s="52" t="str">
        <f t="shared" si="5"/>
        <v/>
      </c>
      <c r="W177" s="52"/>
      <c r="X177" s="52"/>
      <c r="Y177" s="52"/>
      <c r="Z177" s="52"/>
      <c r="AA177" s="52"/>
      <c r="AB177" s="114"/>
      <c r="AC177" s="56"/>
      <c r="AD177" s="115"/>
      <c r="AE177" s="116"/>
    </row>
    <row r="178" ht="15.75" customHeight="1">
      <c r="E178" s="112"/>
      <c r="F178" s="52" t="str">
        <f t="shared" si="12"/>
        <v/>
      </c>
      <c r="G178" s="52"/>
      <c r="H178" s="52"/>
      <c r="I178" s="52"/>
      <c r="J178" s="52"/>
      <c r="K178" s="52"/>
      <c r="L178" s="52"/>
      <c r="M178" s="113"/>
      <c r="N178" s="113"/>
      <c r="V178" s="52" t="str">
        <f t="shared" si="5"/>
        <v/>
      </c>
      <c r="W178" s="52"/>
      <c r="X178" s="52"/>
      <c r="Y178" s="52"/>
      <c r="Z178" s="52"/>
      <c r="AA178" s="52"/>
      <c r="AB178" s="114"/>
      <c r="AC178" s="56"/>
      <c r="AD178" s="115"/>
      <c r="AE178" s="116"/>
    </row>
    <row r="179" ht="15.75" customHeight="1">
      <c r="E179" s="112"/>
      <c r="F179" s="52" t="str">
        <f t="shared" si="12"/>
        <v/>
      </c>
      <c r="G179" s="52"/>
      <c r="H179" s="52"/>
      <c r="I179" s="52"/>
      <c r="J179" s="52"/>
      <c r="K179" s="52"/>
      <c r="L179" s="52"/>
      <c r="M179" s="113"/>
      <c r="N179" s="113"/>
      <c r="V179" s="52" t="str">
        <f t="shared" si="5"/>
        <v/>
      </c>
      <c r="W179" s="52"/>
      <c r="X179" s="52"/>
      <c r="Y179" s="52"/>
      <c r="Z179" s="52"/>
      <c r="AA179" s="52"/>
      <c r="AB179" s="114"/>
      <c r="AC179" s="56"/>
      <c r="AD179" s="115"/>
      <c r="AE179" s="116"/>
    </row>
    <row r="180" ht="15.75" customHeight="1">
      <c r="E180" s="112"/>
      <c r="F180" s="52" t="str">
        <f t="shared" si="12"/>
        <v/>
      </c>
      <c r="G180" s="52"/>
      <c r="H180" s="52"/>
      <c r="I180" s="52"/>
      <c r="J180" s="52"/>
      <c r="K180" s="52"/>
      <c r="L180" s="52"/>
      <c r="M180" s="113"/>
      <c r="N180" s="113"/>
      <c r="V180" s="52" t="str">
        <f t="shared" si="5"/>
        <v/>
      </c>
      <c r="W180" s="52"/>
      <c r="X180" s="52"/>
      <c r="Y180" s="52"/>
      <c r="Z180" s="52"/>
      <c r="AA180" s="52"/>
      <c r="AB180" s="114"/>
      <c r="AC180" s="56"/>
      <c r="AD180" s="115"/>
      <c r="AE180" s="116"/>
    </row>
    <row r="181" ht="15.75" customHeight="1">
      <c r="E181" s="112"/>
      <c r="F181" s="52" t="str">
        <f t="shared" si="12"/>
        <v/>
      </c>
      <c r="G181" s="52"/>
      <c r="H181" s="52"/>
      <c r="I181" s="52"/>
      <c r="J181" s="52"/>
      <c r="K181" s="52"/>
      <c r="L181" s="52"/>
      <c r="M181" s="113"/>
      <c r="N181" s="113"/>
      <c r="V181" s="52" t="str">
        <f t="shared" si="5"/>
        <v/>
      </c>
      <c r="W181" s="52"/>
      <c r="X181" s="52"/>
      <c r="Y181" s="52"/>
      <c r="Z181" s="52"/>
      <c r="AA181" s="52"/>
      <c r="AB181" s="114"/>
      <c r="AC181" s="56"/>
      <c r="AD181" s="115"/>
      <c r="AE181" s="116"/>
    </row>
    <row r="182" ht="15.75" customHeight="1">
      <c r="E182" s="112"/>
      <c r="F182" s="52" t="str">
        <f t="shared" si="12"/>
        <v/>
      </c>
      <c r="G182" s="52"/>
      <c r="H182" s="52"/>
      <c r="I182" s="52"/>
      <c r="J182" s="52"/>
      <c r="K182" s="52"/>
      <c r="L182" s="52"/>
      <c r="M182" s="113"/>
      <c r="N182" s="113"/>
      <c r="V182" s="52" t="str">
        <f t="shared" si="5"/>
        <v/>
      </c>
      <c r="W182" s="52"/>
      <c r="X182" s="52"/>
      <c r="Y182" s="52"/>
      <c r="Z182" s="52"/>
      <c r="AA182" s="52"/>
      <c r="AB182" s="114"/>
      <c r="AC182" s="56"/>
      <c r="AD182" s="115"/>
      <c r="AE182" s="116"/>
    </row>
    <row r="183" ht="15.75" customHeight="1">
      <c r="E183" s="112"/>
      <c r="F183" s="52" t="str">
        <f t="shared" si="12"/>
        <v/>
      </c>
      <c r="G183" s="52"/>
      <c r="H183" s="52"/>
      <c r="I183" s="52"/>
      <c r="J183" s="52"/>
      <c r="K183" s="52"/>
      <c r="L183" s="52"/>
      <c r="M183" s="113"/>
      <c r="N183" s="113"/>
      <c r="V183" s="52" t="str">
        <f t="shared" si="5"/>
        <v/>
      </c>
      <c r="W183" s="52"/>
      <c r="X183" s="52"/>
      <c r="Y183" s="52"/>
      <c r="Z183" s="52"/>
      <c r="AA183" s="52"/>
      <c r="AB183" s="114"/>
      <c r="AC183" s="56"/>
      <c r="AD183" s="115"/>
      <c r="AE183" s="116"/>
    </row>
    <row r="184" ht="15.75" customHeight="1">
      <c r="E184" s="112"/>
      <c r="F184" s="52" t="str">
        <f t="shared" si="12"/>
        <v/>
      </c>
      <c r="G184" s="52"/>
      <c r="H184" s="52"/>
      <c r="I184" s="52"/>
      <c r="J184" s="52"/>
      <c r="K184" s="52"/>
      <c r="L184" s="52"/>
      <c r="M184" s="113"/>
      <c r="N184" s="113"/>
      <c r="V184" s="52" t="str">
        <f t="shared" si="5"/>
        <v/>
      </c>
      <c r="W184" s="52"/>
      <c r="X184" s="52"/>
      <c r="Y184" s="52"/>
      <c r="Z184" s="52"/>
      <c r="AA184" s="52"/>
      <c r="AB184" s="114"/>
      <c r="AC184" s="56"/>
      <c r="AD184" s="115"/>
      <c r="AE184" s="116"/>
    </row>
    <row r="185" ht="15.75" customHeight="1">
      <c r="E185" s="112"/>
      <c r="F185" s="52" t="str">
        <f t="shared" si="12"/>
        <v/>
      </c>
      <c r="G185" s="52"/>
      <c r="H185" s="52"/>
      <c r="I185" s="52"/>
      <c r="J185" s="52"/>
      <c r="K185" s="52"/>
      <c r="L185" s="52"/>
      <c r="M185" s="113"/>
      <c r="N185" s="113"/>
      <c r="V185" s="52" t="str">
        <f t="shared" si="5"/>
        <v/>
      </c>
      <c r="W185" s="52"/>
      <c r="X185" s="52"/>
      <c r="Y185" s="52"/>
      <c r="Z185" s="52"/>
      <c r="AA185" s="52"/>
      <c r="AB185" s="114"/>
      <c r="AC185" s="56"/>
      <c r="AD185" s="115"/>
      <c r="AE185" s="116"/>
    </row>
    <row r="186" ht="15.75" customHeight="1">
      <c r="E186" s="112"/>
      <c r="F186" s="52" t="str">
        <f t="shared" si="12"/>
        <v/>
      </c>
      <c r="G186" s="52"/>
      <c r="H186" s="52"/>
      <c r="I186" s="52"/>
      <c r="J186" s="52"/>
      <c r="K186" s="52"/>
      <c r="L186" s="52"/>
      <c r="M186" s="113"/>
      <c r="N186" s="113"/>
      <c r="V186" s="52" t="str">
        <f t="shared" si="5"/>
        <v/>
      </c>
      <c r="W186" s="52"/>
      <c r="X186" s="52"/>
      <c r="Y186" s="52"/>
      <c r="Z186" s="52"/>
      <c r="AA186" s="52"/>
      <c r="AB186" s="114"/>
      <c r="AC186" s="56"/>
      <c r="AD186" s="115"/>
      <c r="AE186" s="116"/>
    </row>
    <row r="187" ht="15.75" customHeight="1">
      <c r="E187" s="112"/>
      <c r="F187" s="52" t="str">
        <f t="shared" si="12"/>
        <v/>
      </c>
      <c r="G187" s="52"/>
      <c r="H187" s="52"/>
      <c r="I187" s="52"/>
      <c r="J187" s="52"/>
      <c r="K187" s="52"/>
      <c r="L187" s="52"/>
      <c r="M187" s="113"/>
      <c r="N187" s="113"/>
      <c r="V187" s="52" t="str">
        <f t="shared" si="5"/>
        <v/>
      </c>
      <c r="W187" s="52"/>
      <c r="X187" s="52"/>
      <c r="Y187" s="52"/>
      <c r="Z187" s="52"/>
      <c r="AA187" s="52"/>
      <c r="AB187" s="114"/>
      <c r="AC187" s="56"/>
      <c r="AD187" s="115"/>
      <c r="AE187" s="116"/>
    </row>
    <row r="188" ht="15.75" customHeight="1">
      <c r="E188" s="112"/>
      <c r="F188" s="52" t="str">
        <f t="shared" si="12"/>
        <v/>
      </c>
      <c r="G188" s="52"/>
      <c r="H188" s="52"/>
      <c r="I188" s="52"/>
      <c r="J188" s="52"/>
      <c r="K188" s="52"/>
      <c r="L188" s="52"/>
      <c r="M188" s="113"/>
      <c r="N188" s="113"/>
      <c r="V188" s="52" t="str">
        <f t="shared" si="5"/>
        <v/>
      </c>
      <c r="W188" s="52"/>
      <c r="X188" s="52"/>
      <c r="Y188" s="52"/>
      <c r="Z188" s="52"/>
      <c r="AA188" s="52"/>
      <c r="AB188" s="114"/>
      <c r="AC188" s="56"/>
      <c r="AD188" s="115"/>
      <c r="AE188" s="116"/>
    </row>
    <row r="189" ht="15.75" customHeight="1">
      <c r="E189" s="112"/>
      <c r="F189" s="52" t="str">
        <f t="shared" si="12"/>
        <v/>
      </c>
      <c r="G189" s="52"/>
      <c r="H189" s="52"/>
      <c r="I189" s="52"/>
      <c r="J189" s="52"/>
      <c r="K189" s="52"/>
      <c r="L189" s="52"/>
      <c r="M189" s="113"/>
      <c r="N189" s="113"/>
      <c r="V189" s="52" t="str">
        <f t="shared" si="5"/>
        <v/>
      </c>
      <c r="W189" s="52"/>
      <c r="X189" s="52"/>
      <c r="Y189" s="52"/>
      <c r="Z189" s="52"/>
      <c r="AA189" s="52"/>
      <c r="AB189" s="114"/>
      <c r="AC189" s="56"/>
      <c r="AD189" s="115"/>
      <c r="AE189" s="116"/>
    </row>
    <row r="190" ht="15.75" customHeight="1">
      <c r="E190" s="112"/>
      <c r="F190" s="52" t="str">
        <f t="shared" si="12"/>
        <v/>
      </c>
      <c r="G190" s="52"/>
      <c r="H190" s="52"/>
      <c r="I190" s="52"/>
      <c r="J190" s="52"/>
      <c r="K190" s="52"/>
      <c r="L190" s="52"/>
      <c r="M190" s="113"/>
      <c r="N190" s="113"/>
      <c r="V190" s="52" t="str">
        <f t="shared" si="5"/>
        <v/>
      </c>
      <c r="W190" s="52"/>
      <c r="X190" s="52"/>
      <c r="Y190" s="52"/>
      <c r="Z190" s="52"/>
      <c r="AA190" s="52"/>
      <c r="AB190" s="114"/>
      <c r="AC190" s="56"/>
      <c r="AD190" s="115"/>
      <c r="AE190" s="116"/>
    </row>
    <row r="191" ht="15.75" customHeight="1">
      <c r="E191" s="112"/>
      <c r="F191" s="52" t="str">
        <f t="shared" si="12"/>
        <v/>
      </c>
      <c r="G191" s="52"/>
      <c r="H191" s="52"/>
      <c r="I191" s="52"/>
      <c r="J191" s="52"/>
      <c r="K191" s="52"/>
      <c r="L191" s="52"/>
      <c r="M191" s="113"/>
      <c r="N191" s="113"/>
      <c r="V191" s="52" t="str">
        <f t="shared" si="5"/>
        <v/>
      </c>
      <c r="W191" s="52"/>
      <c r="X191" s="52"/>
      <c r="Y191" s="52"/>
      <c r="Z191" s="52"/>
      <c r="AA191" s="52"/>
      <c r="AB191" s="114"/>
      <c r="AC191" s="56"/>
      <c r="AD191" s="115"/>
      <c r="AE191" s="116"/>
    </row>
    <row r="192" ht="15.75" customHeight="1">
      <c r="E192" s="112"/>
      <c r="F192" s="52" t="str">
        <f t="shared" si="12"/>
        <v/>
      </c>
      <c r="G192" s="52"/>
      <c r="H192" s="52"/>
      <c r="I192" s="52"/>
      <c r="J192" s="52"/>
      <c r="K192" s="52"/>
      <c r="L192" s="52"/>
      <c r="M192" s="113"/>
      <c r="N192" s="113"/>
      <c r="V192" s="52" t="str">
        <f t="shared" si="5"/>
        <v/>
      </c>
      <c r="W192" s="52"/>
      <c r="X192" s="52"/>
      <c r="Y192" s="52"/>
      <c r="Z192" s="52"/>
      <c r="AA192" s="52"/>
      <c r="AB192" s="114"/>
      <c r="AC192" s="56"/>
      <c r="AD192" s="115"/>
      <c r="AE192" s="116"/>
    </row>
    <row r="193" ht="15.75" customHeight="1">
      <c r="E193" s="112"/>
      <c r="F193" s="52" t="str">
        <f t="shared" si="12"/>
        <v/>
      </c>
      <c r="G193" s="52"/>
      <c r="H193" s="52"/>
      <c r="I193" s="52"/>
      <c r="J193" s="52"/>
      <c r="K193" s="52"/>
      <c r="L193" s="52"/>
      <c r="M193" s="113"/>
      <c r="N193" s="113"/>
      <c r="V193" s="52" t="str">
        <f t="shared" si="5"/>
        <v/>
      </c>
      <c r="W193" s="52"/>
      <c r="X193" s="52"/>
      <c r="Y193" s="52"/>
      <c r="Z193" s="52"/>
      <c r="AA193" s="52"/>
      <c r="AB193" s="114"/>
      <c r="AC193" s="56"/>
      <c r="AD193" s="115"/>
      <c r="AE193" s="116"/>
    </row>
    <row r="194" ht="15.75" customHeight="1">
      <c r="E194" s="112"/>
      <c r="F194" s="52" t="str">
        <f t="shared" si="12"/>
        <v/>
      </c>
      <c r="G194" s="52"/>
      <c r="H194" s="52"/>
      <c r="I194" s="52"/>
      <c r="J194" s="52"/>
      <c r="K194" s="52"/>
      <c r="L194" s="52"/>
      <c r="M194" s="113"/>
      <c r="N194" s="113"/>
      <c r="V194" s="52" t="str">
        <f t="shared" si="5"/>
        <v/>
      </c>
      <c r="W194" s="52"/>
      <c r="X194" s="52"/>
      <c r="Y194" s="52"/>
      <c r="Z194" s="52"/>
      <c r="AA194" s="52"/>
      <c r="AB194" s="114"/>
      <c r="AC194" s="56"/>
      <c r="AD194" s="115"/>
      <c r="AE194" s="116"/>
    </row>
    <row r="195" ht="15.75" customHeight="1">
      <c r="E195" s="112"/>
      <c r="F195" s="52" t="str">
        <f t="shared" si="12"/>
        <v/>
      </c>
      <c r="G195" s="52"/>
      <c r="H195" s="52"/>
      <c r="I195" s="52"/>
      <c r="J195" s="52"/>
      <c r="K195" s="52"/>
      <c r="L195" s="52"/>
      <c r="M195" s="113"/>
      <c r="N195" s="113"/>
      <c r="V195" s="52" t="str">
        <f t="shared" si="5"/>
        <v/>
      </c>
      <c r="W195" s="52"/>
      <c r="X195" s="52"/>
      <c r="Y195" s="52"/>
      <c r="Z195" s="52"/>
      <c r="AA195" s="52"/>
      <c r="AB195" s="114"/>
      <c r="AC195" s="56"/>
      <c r="AD195" s="115"/>
      <c r="AE195" s="116"/>
    </row>
    <row r="196" ht="15.75" customHeight="1">
      <c r="E196" s="112"/>
      <c r="F196" s="52" t="str">
        <f t="shared" si="12"/>
        <v/>
      </c>
      <c r="G196" s="52"/>
      <c r="H196" s="52"/>
      <c r="I196" s="52"/>
      <c r="J196" s="52"/>
      <c r="K196" s="52"/>
      <c r="L196" s="52"/>
      <c r="M196" s="113"/>
      <c r="N196" s="113"/>
      <c r="V196" s="52" t="str">
        <f t="shared" si="5"/>
        <v/>
      </c>
      <c r="W196" s="52"/>
      <c r="X196" s="52"/>
      <c r="Y196" s="52"/>
      <c r="Z196" s="52"/>
      <c r="AA196" s="52"/>
      <c r="AB196" s="114"/>
      <c r="AC196" s="56"/>
      <c r="AD196" s="115"/>
      <c r="AE196" s="116"/>
    </row>
    <row r="197" ht="15.75" customHeight="1">
      <c r="E197" s="112"/>
      <c r="F197" s="52" t="str">
        <f t="shared" si="12"/>
        <v/>
      </c>
      <c r="G197" s="52"/>
      <c r="H197" s="52"/>
      <c r="I197" s="52"/>
      <c r="J197" s="52"/>
      <c r="K197" s="52"/>
      <c r="L197" s="52"/>
      <c r="M197" s="113"/>
      <c r="N197" s="113"/>
      <c r="V197" s="52" t="str">
        <f t="shared" si="5"/>
        <v/>
      </c>
      <c r="W197" s="52"/>
      <c r="X197" s="52"/>
      <c r="Y197" s="52"/>
      <c r="Z197" s="52"/>
      <c r="AA197" s="52"/>
      <c r="AB197" s="114"/>
      <c r="AC197" s="56"/>
      <c r="AD197" s="115"/>
      <c r="AE197" s="116"/>
    </row>
    <row r="198" ht="15.75" customHeight="1">
      <c r="E198" s="112"/>
      <c r="F198" s="52" t="str">
        <f t="shared" si="12"/>
        <v/>
      </c>
      <c r="G198" s="52"/>
      <c r="H198" s="52"/>
      <c r="I198" s="52"/>
      <c r="J198" s="52"/>
      <c r="K198" s="52"/>
      <c r="L198" s="52"/>
      <c r="M198" s="113"/>
      <c r="N198" s="113"/>
      <c r="V198" s="52" t="str">
        <f t="shared" si="5"/>
        <v/>
      </c>
      <c r="W198" s="52"/>
      <c r="X198" s="52"/>
      <c r="Y198" s="52"/>
      <c r="Z198" s="52"/>
      <c r="AA198" s="52"/>
      <c r="AB198" s="114"/>
      <c r="AC198" s="56"/>
      <c r="AD198" s="115"/>
      <c r="AE198" s="116"/>
    </row>
    <row r="199" ht="15.75" customHeight="1">
      <c r="M199" s="113"/>
      <c r="N199" s="113"/>
      <c r="AC199" s="117"/>
      <c r="AD199" s="118"/>
    </row>
    <row r="200" ht="15.75" customHeight="1">
      <c r="M200" s="113"/>
      <c r="N200" s="113"/>
      <c r="AC200" s="117"/>
      <c r="AD200" s="118"/>
    </row>
    <row r="201" ht="15.75" customHeight="1">
      <c r="M201" s="113"/>
      <c r="N201" s="113"/>
      <c r="AC201" s="117"/>
      <c r="AD201" s="118"/>
    </row>
    <row r="202" ht="15.75" customHeight="1">
      <c r="M202" s="113"/>
      <c r="N202" s="113"/>
      <c r="AC202" s="117"/>
      <c r="AD202" s="118"/>
    </row>
    <row r="203" ht="15.75" customHeight="1">
      <c r="M203" s="113"/>
      <c r="N203" s="113"/>
      <c r="AC203" s="117"/>
      <c r="AD203" s="118"/>
    </row>
    <row r="204" ht="15.75" customHeight="1">
      <c r="M204" s="113"/>
      <c r="N204" s="113"/>
      <c r="AC204" s="117"/>
      <c r="AD204" s="118"/>
    </row>
    <row r="205" ht="15.75" customHeight="1">
      <c r="M205" s="113"/>
      <c r="N205" s="113"/>
      <c r="AC205" s="117"/>
      <c r="AD205" s="118"/>
    </row>
    <row r="206" ht="15.75" customHeight="1">
      <c r="M206" s="113"/>
      <c r="N206" s="113"/>
      <c r="AC206" s="117"/>
      <c r="AD206" s="118"/>
    </row>
    <row r="207" ht="15.75" customHeight="1">
      <c r="M207" s="113"/>
      <c r="N207" s="113"/>
      <c r="AC207" s="117"/>
      <c r="AD207" s="118"/>
    </row>
    <row r="208" ht="15.75" customHeight="1">
      <c r="M208" s="113"/>
      <c r="N208" s="113"/>
      <c r="AC208" s="117"/>
      <c r="AD208" s="118"/>
    </row>
    <row r="209" ht="15.75" customHeight="1">
      <c r="M209" s="113"/>
      <c r="N209" s="113"/>
      <c r="AC209" s="117"/>
      <c r="AD209" s="118"/>
    </row>
    <row r="210" ht="15.75" customHeight="1">
      <c r="M210" s="113"/>
      <c r="N210" s="113"/>
      <c r="AC210" s="117"/>
      <c r="AD210" s="118"/>
    </row>
    <row r="211" ht="15.75" customHeight="1">
      <c r="M211" s="113"/>
      <c r="N211" s="113"/>
      <c r="AC211" s="117"/>
      <c r="AD211" s="118"/>
    </row>
    <row r="212" ht="15.75" customHeight="1">
      <c r="M212" s="113"/>
      <c r="N212" s="113"/>
      <c r="AC212" s="117"/>
      <c r="AD212" s="118"/>
    </row>
    <row r="213" ht="15.75" customHeight="1">
      <c r="M213" s="113"/>
      <c r="N213" s="113"/>
      <c r="AC213" s="117"/>
      <c r="AD213" s="118"/>
    </row>
    <row r="214" ht="15.75" customHeight="1">
      <c r="M214" s="113"/>
      <c r="N214" s="113"/>
      <c r="AC214" s="117"/>
      <c r="AD214" s="118"/>
    </row>
    <row r="215" ht="15.75" customHeight="1">
      <c r="M215" s="113"/>
      <c r="N215" s="113"/>
      <c r="AC215" s="117"/>
      <c r="AD215" s="118"/>
    </row>
    <row r="216" ht="15.75" customHeight="1">
      <c r="M216" s="113"/>
      <c r="N216" s="113"/>
      <c r="AC216" s="117"/>
      <c r="AD216" s="118"/>
    </row>
    <row r="217" ht="15.75" customHeight="1">
      <c r="M217" s="113"/>
      <c r="N217" s="113"/>
      <c r="AC217" s="117"/>
      <c r="AD217" s="118"/>
    </row>
    <row r="218" ht="15.75" customHeight="1">
      <c r="M218" s="113"/>
      <c r="N218" s="113"/>
      <c r="AC218" s="117"/>
      <c r="AD218" s="118"/>
    </row>
    <row r="219" ht="15.75" customHeight="1">
      <c r="M219" s="113"/>
      <c r="N219" s="113"/>
      <c r="AC219" s="117"/>
      <c r="AD219" s="118"/>
    </row>
    <row r="220" ht="15.75" customHeight="1">
      <c r="M220" s="113"/>
      <c r="N220" s="113"/>
      <c r="AC220" s="117"/>
      <c r="AD220" s="118"/>
    </row>
    <row r="221" ht="15.75" customHeight="1">
      <c r="M221" s="113"/>
      <c r="N221" s="113"/>
      <c r="AC221" s="117"/>
      <c r="AD221" s="118"/>
    </row>
    <row r="222" ht="15.75" customHeight="1">
      <c r="M222" s="113"/>
      <c r="N222" s="113"/>
      <c r="AC222" s="117"/>
      <c r="AD222" s="118"/>
    </row>
    <row r="223" ht="15.75" customHeight="1">
      <c r="M223" s="113"/>
      <c r="N223" s="113"/>
      <c r="AC223" s="117"/>
      <c r="AD223" s="118"/>
    </row>
    <row r="224" ht="15.75" customHeight="1">
      <c r="M224" s="113"/>
      <c r="N224" s="113"/>
      <c r="AC224" s="117"/>
      <c r="AD224" s="118"/>
    </row>
    <row r="225" ht="15.75" customHeight="1">
      <c r="M225" s="113"/>
      <c r="N225" s="113"/>
      <c r="AC225" s="117"/>
      <c r="AD225" s="118"/>
    </row>
    <row r="226" ht="15.75" customHeight="1">
      <c r="M226" s="113"/>
      <c r="N226" s="113"/>
      <c r="AC226" s="117"/>
      <c r="AD226" s="118"/>
    </row>
    <row r="227" ht="15.75" customHeight="1">
      <c r="M227" s="113"/>
      <c r="N227" s="113"/>
      <c r="AC227" s="117"/>
      <c r="AD227" s="118"/>
    </row>
    <row r="228" ht="15.75" customHeight="1">
      <c r="M228" s="113"/>
      <c r="N228" s="113"/>
      <c r="AC228" s="117"/>
      <c r="AD228" s="118"/>
    </row>
    <row r="229" ht="15.75" customHeight="1">
      <c r="M229" s="113"/>
      <c r="N229" s="113"/>
      <c r="AC229" s="117"/>
      <c r="AD229" s="118"/>
    </row>
    <row r="230" ht="15.75" customHeight="1">
      <c r="M230" s="113"/>
      <c r="N230" s="113"/>
      <c r="AC230" s="117"/>
      <c r="AD230" s="118"/>
    </row>
    <row r="231" ht="15.75" customHeight="1">
      <c r="M231" s="113"/>
      <c r="N231" s="113"/>
      <c r="AC231" s="117"/>
      <c r="AD231" s="118"/>
    </row>
    <row r="232" ht="15.75" customHeight="1">
      <c r="M232" s="113"/>
      <c r="N232" s="113"/>
      <c r="AC232" s="117"/>
      <c r="AD232" s="118"/>
    </row>
    <row r="233" ht="15.75" customHeight="1">
      <c r="M233" s="113"/>
      <c r="N233" s="113"/>
      <c r="AC233" s="117"/>
      <c r="AD233" s="118"/>
    </row>
    <row r="234" ht="15.75" customHeight="1">
      <c r="M234" s="113"/>
      <c r="N234" s="113"/>
      <c r="AC234" s="117"/>
      <c r="AD234" s="118"/>
    </row>
    <row r="235" ht="15.75" customHeight="1">
      <c r="M235" s="113"/>
      <c r="N235" s="113"/>
      <c r="AC235" s="117"/>
      <c r="AD235" s="118"/>
    </row>
    <row r="236" ht="15.75" customHeight="1">
      <c r="M236" s="113"/>
      <c r="N236" s="113"/>
      <c r="AC236" s="117"/>
      <c r="AD236" s="118"/>
    </row>
    <row r="237" ht="15.75" customHeight="1">
      <c r="M237" s="113"/>
      <c r="N237" s="113"/>
      <c r="AC237" s="117"/>
      <c r="AD237" s="118"/>
    </row>
    <row r="238" ht="15.75" customHeight="1">
      <c r="M238" s="113"/>
      <c r="N238" s="113"/>
      <c r="AC238" s="117"/>
      <c r="AD238" s="118"/>
    </row>
    <row r="239" ht="15.75" customHeight="1">
      <c r="M239" s="113"/>
      <c r="N239" s="113"/>
      <c r="AC239" s="117"/>
      <c r="AD239" s="118"/>
    </row>
    <row r="240" ht="15.75" customHeight="1">
      <c r="M240" s="113"/>
      <c r="N240" s="113"/>
      <c r="AC240" s="117"/>
      <c r="AD240" s="118"/>
    </row>
    <row r="241" ht="15.75" customHeight="1">
      <c r="M241" s="113"/>
      <c r="N241" s="113"/>
      <c r="AC241" s="117"/>
      <c r="AD241" s="118"/>
    </row>
    <row r="242" ht="15.75" customHeight="1">
      <c r="M242" s="113"/>
      <c r="N242" s="113"/>
      <c r="AC242" s="117"/>
      <c r="AD242" s="118"/>
    </row>
    <row r="243" ht="15.75" customHeight="1">
      <c r="M243" s="113"/>
      <c r="N243" s="113"/>
      <c r="AC243" s="117"/>
      <c r="AD243" s="118"/>
    </row>
    <row r="244" ht="15.75" customHeight="1">
      <c r="M244" s="113"/>
      <c r="N244" s="113"/>
      <c r="AC244" s="117"/>
      <c r="AD244" s="118"/>
    </row>
    <row r="245" ht="15.75" customHeight="1">
      <c r="M245" s="113"/>
      <c r="N245" s="113"/>
      <c r="AC245" s="117"/>
      <c r="AD245" s="118"/>
    </row>
    <row r="246" ht="15.75" customHeight="1">
      <c r="M246" s="113"/>
      <c r="N246" s="113"/>
      <c r="AC246" s="117"/>
      <c r="AD246" s="118"/>
    </row>
    <row r="247" ht="15.75" customHeight="1">
      <c r="M247" s="113"/>
      <c r="N247" s="113"/>
      <c r="AC247" s="117"/>
      <c r="AD247" s="118"/>
    </row>
    <row r="248" ht="15.75" customHeight="1">
      <c r="M248" s="113"/>
      <c r="N248" s="113"/>
      <c r="AC248" s="117"/>
      <c r="AD248" s="118"/>
    </row>
    <row r="249" ht="15.75" customHeight="1">
      <c r="M249" s="113"/>
      <c r="N249" s="113"/>
      <c r="AC249" s="117"/>
      <c r="AD249" s="118"/>
    </row>
    <row r="250" ht="15.75" customHeight="1">
      <c r="M250" s="113"/>
      <c r="N250" s="113"/>
      <c r="AC250" s="117"/>
      <c r="AD250" s="118"/>
    </row>
    <row r="251" ht="15.75" customHeight="1">
      <c r="M251" s="113"/>
      <c r="N251" s="113"/>
      <c r="AC251" s="117"/>
      <c r="AD251" s="118"/>
    </row>
    <row r="252" ht="15.75" customHeight="1">
      <c r="M252" s="113"/>
      <c r="N252" s="113"/>
      <c r="AC252" s="117"/>
      <c r="AD252" s="118"/>
    </row>
    <row r="253" ht="15.75" customHeight="1">
      <c r="M253" s="113"/>
      <c r="N253" s="113"/>
      <c r="AC253" s="117"/>
      <c r="AD253" s="118"/>
    </row>
    <row r="254" ht="15.75" customHeight="1">
      <c r="M254" s="113"/>
      <c r="N254" s="113"/>
      <c r="AC254" s="117"/>
      <c r="AD254" s="118"/>
    </row>
    <row r="255" ht="15.75" customHeight="1">
      <c r="M255" s="113"/>
      <c r="N255" s="113"/>
      <c r="AC255" s="117"/>
      <c r="AD255" s="118"/>
    </row>
    <row r="256" ht="15.75" customHeight="1">
      <c r="M256" s="113"/>
      <c r="N256" s="113"/>
      <c r="AC256" s="117"/>
      <c r="AD256" s="118"/>
    </row>
    <row r="257" ht="15.75" customHeight="1">
      <c r="M257" s="113"/>
      <c r="N257" s="113"/>
      <c r="AC257" s="117"/>
      <c r="AD257" s="118"/>
    </row>
    <row r="258" ht="15.75" customHeight="1">
      <c r="M258" s="113"/>
      <c r="N258" s="113"/>
      <c r="AC258" s="117"/>
      <c r="AD258" s="118"/>
    </row>
    <row r="259" ht="15.75" customHeight="1">
      <c r="M259" s="113"/>
      <c r="N259" s="113"/>
      <c r="AC259" s="117"/>
      <c r="AD259" s="118"/>
    </row>
    <row r="260" ht="15.75" customHeight="1">
      <c r="M260" s="113"/>
      <c r="N260" s="113"/>
      <c r="AC260" s="117"/>
      <c r="AD260" s="118"/>
    </row>
    <row r="261" ht="15.75" customHeight="1">
      <c r="M261" s="113"/>
      <c r="N261" s="113"/>
      <c r="AC261" s="117"/>
      <c r="AD261" s="118"/>
    </row>
    <row r="262" ht="15.75" customHeight="1">
      <c r="M262" s="113"/>
      <c r="N262" s="113"/>
      <c r="AC262" s="117"/>
      <c r="AD262" s="118"/>
    </row>
    <row r="263" ht="15.75" customHeight="1">
      <c r="M263" s="113"/>
      <c r="N263" s="113"/>
      <c r="AC263" s="117"/>
      <c r="AD263" s="118"/>
    </row>
    <row r="264" ht="15.75" customHeight="1">
      <c r="M264" s="113"/>
      <c r="N264" s="113"/>
      <c r="AC264" s="117"/>
      <c r="AD264" s="118"/>
    </row>
    <row r="265" ht="15.75" customHeight="1">
      <c r="M265" s="113"/>
      <c r="N265" s="113"/>
      <c r="AC265" s="117"/>
      <c r="AD265" s="118"/>
    </row>
    <row r="266" ht="15.75" customHeight="1">
      <c r="M266" s="113"/>
      <c r="N266" s="113"/>
      <c r="AC266" s="117"/>
      <c r="AD266" s="118"/>
    </row>
    <row r="267" ht="15.75" customHeight="1">
      <c r="M267" s="113"/>
      <c r="N267" s="113"/>
      <c r="AC267" s="117"/>
      <c r="AD267" s="118"/>
    </row>
    <row r="268" ht="15.75" customHeight="1">
      <c r="M268" s="113"/>
      <c r="N268" s="113"/>
      <c r="AC268" s="117"/>
      <c r="AD268" s="118"/>
    </row>
    <row r="269" ht="15.75" customHeight="1">
      <c r="M269" s="113"/>
      <c r="N269" s="113"/>
      <c r="AC269" s="117"/>
      <c r="AD269" s="118"/>
    </row>
    <row r="270" ht="15.75" customHeight="1">
      <c r="M270" s="113"/>
      <c r="N270" s="113"/>
      <c r="AC270" s="117"/>
      <c r="AD270" s="118"/>
    </row>
    <row r="271" ht="15.75" customHeight="1">
      <c r="M271" s="113"/>
      <c r="N271" s="113"/>
      <c r="AC271" s="117"/>
      <c r="AD271" s="118"/>
    </row>
    <row r="272" ht="15.75" customHeight="1">
      <c r="M272" s="113"/>
      <c r="N272" s="113"/>
      <c r="AC272" s="117"/>
      <c r="AD272" s="118"/>
    </row>
    <row r="273" ht="15.75" customHeight="1">
      <c r="M273" s="113"/>
      <c r="N273" s="113"/>
      <c r="AC273" s="117"/>
      <c r="AD273" s="118"/>
    </row>
    <row r="274" ht="15.75" customHeight="1">
      <c r="M274" s="113"/>
      <c r="N274" s="113"/>
      <c r="AC274" s="117"/>
      <c r="AD274" s="118"/>
    </row>
    <row r="275" ht="15.75" customHeight="1">
      <c r="M275" s="113"/>
      <c r="N275" s="113"/>
      <c r="AC275" s="117"/>
      <c r="AD275" s="118"/>
    </row>
    <row r="276" ht="15.75" customHeight="1">
      <c r="M276" s="113"/>
      <c r="N276" s="113"/>
      <c r="AC276" s="117"/>
      <c r="AD276" s="118"/>
    </row>
    <row r="277" ht="15.75" customHeight="1">
      <c r="M277" s="113"/>
      <c r="N277" s="113"/>
      <c r="AC277" s="117"/>
      <c r="AD277" s="118"/>
    </row>
    <row r="278" ht="15.75" customHeight="1">
      <c r="M278" s="113"/>
      <c r="N278" s="113"/>
      <c r="AC278" s="117"/>
      <c r="AD278" s="118"/>
    </row>
    <row r="279" ht="15.75" customHeight="1">
      <c r="M279" s="113"/>
      <c r="N279" s="113"/>
      <c r="AC279" s="117"/>
      <c r="AD279" s="118"/>
    </row>
    <row r="280" ht="15.75" customHeight="1">
      <c r="M280" s="113"/>
      <c r="N280" s="113"/>
      <c r="AC280" s="117"/>
      <c r="AD280" s="118"/>
    </row>
    <row r="281" ht="15.75" customHeight="1">
      <c r="M281" s="113"/>
      <c r="N281" s="113"/>
      <c r="AC281" s="117"/>
      <c r="AD281" s="118"/>
    </row>
    <row r="282" ht="15.75" customHeight="1">
      <c r="M282" s="113"/>
      <c r="N282" s="113"/>
      <c r="AC282" s="117"/>
      <c r="AD282" s="118"/>
    </row>
    <row r="283" ht="15.75" customHeight="1">
      <c r="M283" s="113"/>
      <c r="N283" s="113"/>
      <c r="AC283" s="117"/>
      <c r="AD283" s="118"/>
    </row>
    <row r="284" ht="15.75" customHeight="1">
      <c r="M284" s="113"/>
      <c r="N284" s="113"/>
      <c r="AC284" s="117"/>
      <c r="AD284" s="118"/>
    </row>
    <row r="285" ht="15.75" customHeight="1">
      <c r="M285" s="113"/>
      <c r="N285" s="113"/>
      <c r="AC285" s="117"/>
      <c r="AD285" s="118"/>
    </row>
    <row r="286" ht="15.75" customHeight="1">
      <c r="M286" s="113"/>
      <c r="N286" s="113"/>
      <c r="AC286" s="117"/>
      <c r="AD286" s="118"/>
    </row>
    <row r="287" ht="15.75" customHeight="1">
      <c r="M287" s="113"/>
      <c r="N287" s="113"/>
      <c r="AC287" s="117"/>
      <c r="AD287" s="118"/>
    </row>
    <row r="288" ht="15.75" customHeight="1">
      <c r="M288" s="113"/>
      <c r="N288" s="113"/>
      <c r="AC288" s="117"/>
      <c r="AD288" s="118"/>
    </row>
    <row r="289" ht="15.75" customHeight="1">
      <c r="M289" s="113"/>
      <c r="N289" s="113"/>
      <c r="AC289" s="117"/>
      <c r="AD289" s="118"/>
    </row>
    <row r="290" ht="15.75" customHeight="1">
      <c r="M290" s="113"/>
      <c r="N290" s="113"/>
      <c r="AC290" s="117"/>
      <c r="AD290" s="118"/>
    </row>
    <row r="291" ht="15.75" customHeight="1">
      <c r="M291" s="113"/>
      <c r="N291" s="113"/>
      <c r="AC291" s="117"/>
      <c r="AD291" s="118"/>
    </row>
    <row r="292" ht="15.75" customHeight="1">
      <c r="M292" s="113"/>
      <c r="N292" s="113"/>
      <c r="AC292" s="117"/>
      <c r="AD292" s="118"/>
    </row>
    <row r="293" ht="15.75" customHeight="1">
      <c r="M293" s="113"/>
      <c r="N293" s="113"/>
      <c r="AC293" s="117"/>
      <c r="AD293" s="118"/>
    </row>
    <row r="294" ht="15.75" customHeight="1">
      <c r="M294" s="113"/>
      <c r="N294" s="113"/>
      <c r="AC294" s="117"/>
      <c r="AD294" s="118"/>
    </row>
    <row r="295" ht="15.75" customHeight="1">
      <c r="M295" s="113"/>
      <c r="N295" s="113"/>
      <c r="AC295" s="117"/>
      <c r="AD295" s="118"/>
    </row>
    <row r="296" ht="15.75" customHeight="1">
      <c r="M296" s="113"/>
      <c r="N296" s="113"/>
      <c r="AC296" s="117"/>
      <c r="AD296" s="118"/>
    </row>
    <row r="297" ht="15.75" customHeight="1">
      <c r="M297" s="113"/>
      <c r="N297" s="113"/>
      <c r="AC297" s="117"/>
      <c r="AD297" s="118"/>
    </row>
    <row r="298" ht="15.75" customHeight="1">
      <c r="M298" s="113"/>
      <c r="N298" s="113"/>
      <c r="AC298" s="117"/>
      <c r="AD298" s="118"/>
    </row>
    <row r="299" ht="15.75" customHeight="1">
      <c r="M299" s="113"/>
      <c r="N299" s="113"/>
      <c r="AC299" s="117"/>
      <c r="AD299" s="118"/>
    </row>
    <row r="300" ht="15.75" customHeight="1">
      <c r="M300" s="113"/>
      <c r="N300" s="113"/>
      <c r="AC300" s="117"/>
      <c r="AD300" s="118"/>
    </row>
    <row r="301" ht="15.75" customHeight="1">
      <c r="M301" s="113"/>
      <c r="N301" s="113"/>
      <c r="AC301" s="117"/>
      <c r="AD301" s="118"/>
    </row>
    <row r="302" ht="15.75" customHeight="1">
      <c r="M302" s="113"/>
      <c r="N302" s="113"/>
      <c r="AC302" s="117"/>
      <c r="AD302" s="118"/>
    </row>
    <row r="303" ht="15.75" customHeight="1">
      <c r="M303" s="113"/>
      <c r="N303" s="113"/>
      <c r="AC303" s="117"/>
      <c r="AD303" s="118"/>
    </row>
    <row r="304" ht="15.75" customHeight="1">
      <c r="M304" s="113"/>
      <c r="N304" s="113"/>
      <c r="AC304" s="117"/>
      <c r="AD304" s="118"/>
    </row>
    <row r="305" ht="15.75" customHeight="1">
      <c r="M305" s="113"/>
      <c r="N305" s="113"/>
      <c r="AC305" s="117"/>
      <c r="AD305" s="118"/>
    </row>
    <row r="306" ht="15.75" customHeight="1">
      <c r="M306" s="113"/>
      <c r="N306" s="113"/>
      <c r="AC306" s="117"/>
      <c r="AD306" s="118"/>
    </row>
    <row r="307" ht="15.75" customHeight="1">
      <c r="M307" s="113"/>
      <c r="N307" s="113"/>
      <c r="AC307" s="117"/>
      <c r="AD307" s="118"/>
    </row>
    <row r="308" ht="15.75" customHeight="1">
      <c r="M308" s="113"/>
      <c r="N308" s="113"/>
      <c r="AC308" s="117"/>
      <c r="AD308" s="118"/>
    </row>
    <row r="309" ht="15.75" customHeight="1">
      <c r="M309" s="113"/>
      <c r="N309" s="113"/>
      <c r="AC309" s="117"/>
      <c r="AD309" s="118"/>
    </row>
    <row r="310" ht="15.75" customHeight="1">
      <c r="M310" s="113"/>
      <c r="N310" s="113"/>
      <c r="AC310" s="117"/>
      <c r="AD310" s="118"/>
    </row>
    <row r="311" ht="15.75" customHeight="1">
      <c r="M311" s="113"/>
      <c r="N311" s="113"/>
      <c r="AC311" s="117"/>
      <c r="AD311" s="118"/>
    </row>
    <row r="312" ht="15.75" customHeight="1">
      <c r="M312" s="113"/>
      <c r="N312" s="113"/>
      <c r="AC312" s="117"/>
      <c r="AD312" s="118"/>
    </row>
    <row r="313" ht="15.75" customHeight="1">
      <c r="M313" s="113"/>
      <c r="N313" s="113"/>
      <c r="AC313" s="117"/>
      <c r="AD313" s="118"/>
    </row>
    <row r="314" ht="15.75" customHeight="1">
      <c r="M314" s="113"/>
      <c r="N314" s="113"/>
      <c r="AC314" s="117"/>
      <c r="AD314" s="118"/>
    </row>
    <row r="315" ht="15.75" customHeight="1">
      <c r="M315" s="113"/>
      <c r="N315" s="113"/>
      <c r="AC315" s="117"/>
      <c r="AD315" s="118"/>
    </row>
    <row r="316" ht="15.75" customHeight="1">
      <c r="M316" s="113"/>
      <c r="N316" s="113"/>
      <c r="AC316" s="117"/>
      <c r="AD316" s="118"/>
    </row>
    <row r="317" ht="15.75" customHeight="1">
      <c r="M317" s="113"/>
      <c r="N317" s="113"/>
      <c r="AC317" s="117"/>
      <c r="AD317" s="118"/>
    </row>
    <row r="318" ht="15.75" customHeight="1">
      <c r="M318" s="113"/>
      <c r="N318" s="113"/>
      <c r="AC318" s="117"/>
      <c r="AD318" s="118"/>
    </row>
    <row r="319" ht="15.75" customHeight="1">
      <c r="M319" s="113"/>
      <c r="N319" s="113"/>
      <c r="AC319" s="117"/>
      <c r="AD319" s="118"/>
    </row>
    <row r="320" ht="15.75" customHeight="1">
      <c r="M320" s="113"/>
      <c r="N320" s="113"/>
      <c r="AC320" s="117"/>
      <c r="AD320" s="118"/>
    </row>
    <row r="321" ht="15.75" customHeight="1">
      <c r="M321" s="113"/>
      <c r="N321" s="113"/>
      <c r="AC321" s="117"/>
      <c r="AD321" s="118"/>
    </row>
    <row r="322" ht="15.75" customHeight="1">
      <c r="M322" s="113"/>
      <c r="N322" s="113"/>
      <c r="AC322" s="117"/>
      <c r="AD322" s="118"/>
    </row>
    <row r="323" ht="15.75" customHeight="1">
      <c r="M323" s="113"/>
      <c r="N323" s="113"/>
      <c r="AC323" s="117"/>
      <c r="AD323" s="118"/>
    </row>
    <row r="324" ht="15.75" customHeight="1">
      <c r="M324" s="113"/>
      <c r="N324" s="113"/>
      <c r="AC324" s="117"/>
      <c r="AD324" s="118"/>
    </row>
    <row r="325" ht="15.75" customHeight="1">
      <c r="M325" s="113"/>
      <c r="N325" s="113"/>
      <c r="AC325" s="117"/>
      <c r="AD325" s="118"/>
    </row>
    <row r="326" ht="15.75" customHeight="1">
      <c r="M326" s="113"/>
      <c r="N326" s="113"/>
      <c r="AC326" s="117"/>
      <c r="AD326" s="118"/>
    </row>
    <row r="327" ht="15.75" customHeight="1">
      <c r="M327" s="113"/>
      <c r="N327" s="113"/>
      <c r="AC327" s="117"/>
      <c r="AD327" s="118"/>
    </row>
    <row r="328" ht="15.75" customHeight="1">
      <c r="M328" s="113"/>
      <c r="N328" s="113"/>
      <c r="AC328" s="117"/>
      <c r="AD328" s="118"/>
    </row>
    <row r="329" ht="15.75" customHeight="1">
      <c r="M329" s="113"/>
      <c r="N329" s="113"/>
      <c r="AC329" s="117"/>
      <c r="AD329" s="118"/>
    </row>
    <row r="330" ht="15.75" customHeight="1">
      <c r="M330" s="113"/>
      <c r="N330" s="113"/>
      <c r="AC330" s="117"/>
      <c r="AD330" s="118"/>
    </row>
    <row r="331" ht="15.75" customHeight="1">
      <c r="M331" s="113"/>
      <c r="N331" s="113"/>
      <c r="AC331" s="117"/>
      <c r="AD331" s="118"/>
    </row>
    <row r="332" ht="15.75" customHeight="1">
      <c r="M332" s="113"/>
      <c r="N332" s="113"/>
      <c r="AC332" s="117"/>
      <c r="AD332" s="118"/>
    </row>
    <row r="333" ht="15.75" customHeight="1">
      <c r="M333" s="113"/>
      <c r="N333" s="113"/>
      <c r="AC333" s="117"/>
      <c r="AD333" s="118"/>
    </row>
    <row r="334" ht="15.75" customHeight="1">
      <c r="M334" s="113"/>
      <c r="N334" s="113"/>
      <c r="AC334" s="117"/>
      <c r="AD334" s="118"/>
    </row>
    <row r="335" ht="15.75" customHeight="1">
      <c r="M335" s="113"/>
      <c r="N335" s="113"/>
      <c r="AC335" s="117"/>
      <c r="AD335" s="118"/>
    </row>
    <row r="336" ht="15.75" customHeight="1">
      <c r="M336" s="113"/>
      <c r="N336" s="113"/>
      <c r="AC336" s="117"/>
      <c r="AD336" s="118"/>
    </row>
    <row r="337" ht="15.75" customHeight="1">
      <c r="M337" s="113"/>
      <c r="N337" s="113"/>
      <c r="AC337" s="117"/>
      <c r="AD337" s="118"/>
    </row>
    <row r="338" ht="15.75" customHeight="1">
      <c r="M338" s="113"/>
      <c r="N338" s="113"/>
      <c r="AC338" s="117"/>
      <c r="AD338" s="118"/>
    </row>
    <row r="339" ht="15.75" customHeight="1">
      <c r="M339" s="113"/>
      <c r="N339" s="113"/>
      <c r="AC339" s="117"/>
      <c r="AD339" s="118"/>
    </row>
    <row r="340" ht="15.75" customHeight="1">
      <c r="M340" s="113"/>
      <c r="N340" s="113"/>
      <c r="AC340" s="117"/>
      <c r="AD340" s="118"/>
    </row>
    <row r="341" ht="15.75" customHeight="1">
      <c r="M341" s="113"/>
      <c r="N341" s="113"/>
      <c r="AC341" s="117"/>
      <c r="AD341" s="118"/>
    </row>
    <row r="342" ht="15.75" customHeight="1">
      <c r="M342" s="113"/>
      <c r="N342" s="113"/>
      <c r="AC342" s="117"/>
      <c r="AD342" s="118"/>
    </row>
    <row r="343" ht="15.75" customHeight="1">
      <c r="M343" s="113"/>
      <c r="N343" s="113"/>
      <c r="AC343" s="117"/>
      <c r="AD343" s="118"/>
    </row>
    <row r="344" ht="15.75" customHeight="1">
      <c r="M344" s="113"/>
      <c r="N344" s="113"/>
      <c r="AC344" s="117"/>
      <c r="AD344" s="118"/>
    </row>
    <row r="345" ht="15.75" customHeight="1">
      <c r="M345" s="113"/>
      <c r="N345" s="113"/>
      <c r="AC345" s="117"/>
      <c r="AD345" s="118"/>
    </row>
    <row r="346" ht="15.75" customHeight="1">
      <c r="M346" s="113"/>
      <c r="N346" s="113"/>
      <c r="AC346" s="117"/>
      <c r="AD346" s="118"/>
    </row>
    <row r="347" ht="15.75" customHeight="1">
      <c r="M347" s="113"/>
      <c r="N347" s="113"/>
      <c r="AC347" s="117"/>
      <c r="AD347" s="118"/>
    </row>
    <row r="348" ht="15.75" customHeight="1">
      <c r="M348" s="113"/>
      <c r="N348" s="113"/>
      <c r="AC348" s="117"/>
      <c r="AD348" s="118"/>
    </row>
    <row r="349" ht="15.75" customHeight="1">
      <c r="M349" s="113"/>
      <c r="N349" s="113"/>
      <c r="AC349" s="117"/>
      <c r="AD349" s="118"/>
    </row>
    <row r="350" ht="15.75" customHeight="1">
      <c r="M350" s="113"/>
      <c r="N350" s="113"/>
      <c r="AC350" s="117"/>
      <c r="AD350" s="118"/>
    </row>
    <row r="351" ht="15.75" customHeight="1">
      <c r="M351" s="113"/>
      <c r="N351" s="113"/>
      <c r="AC351" s="117"/>
      <c r="AD351" s="118"/>
    </row>
    <row r="352" ht="15.75" customHeight="1">
      <c r="M352" s="113"/>
      <c r="N352" s="113"/>
      <c r="AC352" s="117"/>
      <c r="AD352" s="118"/>
    </row>
    <row r="353" ht="15.75" customHeight="1">
      <c r="M353" s="113"/>
      <c r="N353" s="113"/>
      <c r="AC353" s="117"/>
      <c r="AD353" s="118"/>
    </row>
    <row r="354" ht="15.75" customHeight="1">
      <c r="M354" s="113"/>
      <c r="N354" s="113"/>
      <c r="AC354" s="117"/>
      <c r="AD354" s="118"/>
    </row>
    <row r="355" ht="15.75" customHeight="1">
      <c r="M355" s="113"/>
      <c r="N355" s="113"/>
      <c r="AC355" s="117"/>
      <c r="AD355" s="118"/>
    </row>
    <row r="356" ht="15.75" customHeight="1">
      <c r="M356" s="113"/>
      <c r="N356" s="113"/>
      <c r="AC356" s="117"/>
      <c r="AD356" s="118"/>
    </row>
    <row r="357" ht="15.75" customHeight="1">
      <c r="M357" s="113"/>
      <c r="N357" s="113"/>
      <c r="AC357" s="117"/>
      <c r="AD357" s="118"/>
    </row>
    <row r="358" ht="15.75" customHeight="1">
      <c r="M358" s="113"/>
      <c r="N358" s="113"/>
      <c r="AC358" s="117"/>
      <c r="AD358" s="118"/>
    </row>
    <row r="359" ht="15.75" customHeight="1">
      <c r="M359" s="113"/>
      <c r="N359" s="113"/>
      <c r="AC359" s="117"/>
      <c r="AD359" s="118"/>
    </row>
    <row r="360" ht="15.75" customHeight="1">
      <c r="M360" s="113"/>
      <c r="N360" s="113"/>
      <c r="AC360" s="117"/>
      <c r="AD360" s="118"/>
    </row>
    <row r="361" ht="15.75" customHeight="1">
      <c r="M361" s="113"/>
      <c r="N361" s="113"/>
      <c r="AC361" s="117"/>
      <c r="AD361" s="118"/>
    </row>
    <row r="362" ht="15.75" customHeight="1">
      <c r="M362" s="113"/>
      <c r="N362" s="113"/>
      <c r="AC362" s="117"/>
      <c r="AD362" s="118"/>
    </row>
    <row r="363" ht="15.75" customHeight="1">
      <c r="M363" s="113"/>
      <c r="N363" s="113"/>
      <c r="AC363" s="117"/>
      <c r="AD363" s="118"/>
    </row>
    <row r="364" ht="15.75" customHeight="1">
      <c r="M364" s="113"/>
      <c r="N364" s="113"/>
      <c r="AC364" s="117"/>
      <c r="AD364" s="118"/>
    </row>
    <row r="365" ht="15.75" customHeight="1">
      <c r="M365" s="113"/>
      <c r="N365" s="113"/>
      <c r="AC365" s="117"/>
      <c r="AD365" s="118"/>
    </row>
    <row r="366" ht="15.75" customHeight="1">
      <c r="M366" s="113"/>
      <c r="N366" s="113"/>
      <c r="AC366" s="117"/>
      <c r="AD366" s="118"/>
    </row>
    <row r="367" ht="15.75" customHeight="1">
      <c r="M367" s="113"/>
      <c r="N367" s="113"/>
      <c r="AC367" s="117"/>
      <c r="AD367" s="118"/>
    </row>
    <row r="368" ht="15.75" customHeight="1">
      <c r="M368" s="113"/>
      <c r="N368" s="113"/>
      <c r="AC368" s="117"/>
      <c r="AD368" s="118"/>
    </row>
    <row r="369" ht="15.75" customHeight="1">
      <c r="M369" s="113"/>
      <c r="N369" s="113"/>
      <c r="AC369" s="117"/>
      <c r="AD369" s="118"/>
    </row>
    <row r="370" ht="15.75" customHeight="1">
      <c r="M370" s="113"/>
      <c r="N370" s="113"/>
      <c r="AC370" s="117"/>
      <c r="AD370" s="118"/>
    </row>
    <row r="371" ht="15.75" customHeight="1">
      <c r="M371" s="113"/>
      <c r="N371" s="113"/>
      <c r="AC371" s="117"/>
      <c r="AD371" s="118"/>
    </row>
    <row r="372" ht="15.75" customHeight="1">
      <c r="M372" s="113"/>
      <c r="N372" s="113"/>
      <c r="AC372" s="117"/>
      <c r="AD372" s="118"/>
    </row>
    <row r="373" ht="15.75" customHeight="1">
      <c r="M373" s="113"/>
      <c r="N373" s="113"/>
      <c r="AC373" s="117"/>
      <c r="AD373" s="118"/>
    </row>
    <row r="374" ht="15.75" customHeight="1">
      <c r="M374" s="113"/>
      <c r="N374" s="113"/>
      <c r="AC374" s="117"/>
      <c r="AD374" s="118"/>
    </row>
    <row r="375" ht="15.75" customHeight="1">
      <c r="M375" s="113"/>
      <c r="N375" s="113"/>
      <c r="AC375" s="117"/>
      <c r="AD375" s="118"/>
    </row>
    <row r="376" ht="15.75" customHeight="1">
      <c r="M376" s="113"/>
      <c r="N376" s="113"/>
      <c r="AC376" s="117"/>
      <c r="AD376" s="118"/>
    </row>
    <row r="377" ht="15.75" customHeight="1">
      <c r="M377" s="113"/>
      <c r="N377" s="113"/>
      <c r="AC377" s="117"/>
      <c r="AD377" s="118"/>
    </row>
    <row r="378" ht="15.75" customHeight="1">
      <c r="M378" s="113"/>
      <c r="N378" s="113"/>
      <c r="AC378" s="117"/>
      <c r="AD378" s="118"/>
    </row>
    <row r="379" ht="15.75" customHeight="1">
      <c r="M379" s="113"/>
      <c r="N379" s="113"/>
      <c r="AC379" s="117"/>
      <c r="AD379" s="118"/>
    </row>
    <row r="380" ht="15.75" customHeight="1">
      <c r="M380" s="113"/>
      <c r="N380" s="113"/>
      <c r="AC380" s="117"/>
      <c r="AD380" s="118"/>
    </row>
    <row r="381" ht="15.75" customHeight="1">
      <c r="M381" s="113"/>
      <c r="N381" s="113"/>
      <c r="AC381" s="117"/>
      <c r="AD381" s="118"/>
    </row>
    <row r="382" ht="15.75" customHeight="1">
      <c r="M382" s="113"/>
      <c r="N382" s="113"/>
      <c r="AC382" s="117"/>
      <c r="AD382" s="118"/>
    </row>
    <row r="383" ht="15.75" customHeight="1">
      <c r="M383" s="113"/>
      <c r="N383" s="113"/>
      <c r="AC383" s="117"/>
      <c r="AD383" s="118"/>
    </row>
    <row r="384" ht="15.75" customHeight="1">
      <c r="M384" s="113"/>
      <c r="N384" s="113"/>
      <c r="AC384" s="117"/>
      <c r="AD384" s="118"/>
    </row>
    <row r="385" ht="15.75" customHeight="1">
      <c r="M385" s="113"/>
      <c r="N385" s="113"/>
      <c r="AC385" s="117"/>
      <c r="AD385" s="118"/>
    </row>
    <row r="386" ht="15.75" customHeight="1">
      <c r="M386" s="113"/>
      <c r="N386" s="113"/>
      <c r="AC386" s="117"/>
      <c r="AD386" s="118"/>
    </row>
    <row r="387" ht="15.75" customHeight="1">
      <c r="M387" s="113"/>
      <c r="N387" s="113"/>
      <c r="AC387" s="117"/>
      <c r="AD387" s="118"/>
    </row>
    <row r="388" ht="15.75" customHeight="1">
      <c r="M388" s="113"/>
      <c r="N388" s="113"/>
      <c r="AC388" s="117"/>
      <c r="AD388" s="118"/>
    </row>
    <row r="389" ht="15.75" customHeight="1">
      <c r="M389" s="113"/>
      <c r="N389" s="113"/>
      <c r="AC389" s="117"/>
      <c r="AD389" s="118"/>
    </row>
    <row r="390" ht="15.75" customHeight="1">
      <c r="M390" s="113"/>
      <c r="N390" s="113"/>
      <c r="AC390" s="117"/>
      <c r="AD390" s="118"/>
    </row>
    <row r="391" ht="15.75" customHeight="1">
      <c r="M391" s="113"/>
      <c r="N391" s="113"/>
      <c r="AC391" s="117"/>
      <c r="AD391" s="118"/>
    </row>
    <row r="392" ht="15.75" customHeight="1">
      <c r="M392" s="113"/>
      <c r="N392" s="113"/>
      <c r="AC392" s="117"/>
      <c r="AD392" s="118"/>
    </row>
    <row r="393" ht="15.75" customHeight="1">
      <c r="M393" s="113"/>
      <c r="N393" s="113"/>
      <c r="AC393" s="117"/>
      <c r="AD393" s="118"/>
    </row>
    <row r="394" ht="15.75" customHeight="1">
      <c r="M394" s="113"/>
      <c r="N394" s="113"/>
      <c r="AC394" s="117"/>
      <c r="AD394" s="118"/>
    </row>
    <row r="395" ht="15.75" customHeight="1">
      <c r="M395" s="113"/>
      <c r="N395" s="113"/>
      <c r="AC395" s="117"/>
      <c r="AD395" s="118"/>
    </row>
    <row r="396" ht="15.75" customHeight="1">
      <c r="M396" s="113"/>
      <c r="N396" s="113"/>
      <c r="AC396" s="117"/>
      <c r="AD396" s="118"/>
    </row>
    <row r="397" ht="15.75" customHeight="1">
      <c r="M397" s="113"/>
      <c r="N397" s="113"/>
      <c r="AC397" s="117"/>
      <c r="AD397" s="118"/>
    </row>
    <row r="398" ht="15.75" customHeight="1">
      <c r="M398" s="113"/>
      <c r="N398" s="113"/>
      <c r="AC398" s="117"/>
      <c r="AD398" s="118"/>
    </row>
    <row r="399" ht="15.75" customHeight="1">
      <c r="M399" s="113"/>
      <c r="N399" s="113"/>
      <c r="AC399" s="117"/>
      <c r="AD399" s="118"/>
    </row>
    <row r="400" ht="15.75" customHeight="1">
      <c r="M400" s="113"/>
      <c r="N400" s="113"/>
      <c r="AC400" s="117"/>
      <c r="AD400" s="118"/>
    </row>
    <row r="401" ht="15.75" customHeight="1">
      <c r="M401" s="113"/>
      <c r="N401" s="113"/>
      <c r="AC401" s="117"/>
      <c r="AD401" s="118"/>
    </row>
    <row r="402" ht="15.75" customHeight="1">
      <c r="M402" s="113"/>
      <c r="N402" s="113"/>
      <c r="AC402" s="117"/>
      <c r="AD402" s="118"/>
    </row>
    <row r="403" ht="15.75" customHeight="1">
      <c r="M403" s="113"/>
      <c r="N403" s="113"/>
      <c r="AC403" s="117"/>
      <c r="AD403" s="118"/>
    </row>
    <row r="404" ht="15.75" customHeight="1">
      <c r="M404" s="113"/>
      <c r="N404" s="113"/>
      <c r="AC404" s="117"/>
      <c r="AD404" s="118"/>
    </row>
    <row r="405" ht="15.75" customHeight="1">
      <c r="M405" s="113"/>
      <c r="N405" s="113"/>
      <c r="AC405" s="117"/>
      <c r="AD405" s="118"/>
    </row>
    <row r="406" ht="15.75" customHeight="1">
      <c r="M406" s="113"/>
      <c r="N406" s="113"/>
      <c r="AC406" s="117"/>
      <c r="AD406" s="118"/>
    </row>
    <row r="407" ht="15.75" customHeight="1">
      <c r="M407" s="113"/>
      <c r="N407" s="113"/>
      <c r="AC407" s="117"/>
      <c r="AD407" s="118"/>
    </row>
    <row r="408" ht="15.75" customHeight="1">
      <c r="M408" s="113"/>
      <c r="N408" s="113"/>
      <c r="AC408" s="117"/>
      <c r="AD408" s="118"/>
    </row>
    <row r="409" ht="15.75" customHeight="1">
      <c r="M409" s="113"/>
      <c r="N409" s="113"/>
      <c r="AC409" s="117"/>
      <c r="AD409" s="118"/>
    </row>
    <row r="410" ht="15.75" customHeight="1">
      <c r="M410" s="113"/>
      <c r="N410" s="113"/>
      <c r="AC410" s="117"/>
      <c r="AD410" s="118"/>
    </row>
    <row r="411" ht="15.75" customHeight="1">
      <c r="M411" s="113"/>
      <c r="N411" s="113"/>
      <c r="AC411" s="117"/>
      <c r="AD411" s="118"/>
    </row>
    <row r="412" ht="15.75" customHeight="1">
      <c r="M412" s="113"/>
      <c r="N412" s="113"/>
      <c r="AC412" s="117"/>
      <c r="AD412" s="118"/>
    </row>
    <row r="413" ht="15.75" customHeight="1">
      <c r="M413" s="113"/>
      <c r="N413" s="113"/>
      <c r="AC413" s="117"/>
      <c r="AD413" s="118"/>
    </row>
    <row r="414" ht="15.75" customHeight="1">
      <c r="M414" s="113"/>
      <c r="N414" s="113"/>
      <c r="AC414" s="117"/>
      <c r="AD414" s="118"/>
    </row>
    <row r="415" ht="15.75" customHeight="1">
      <c r="M415" s="113"/>
      <c r="N415" s="113"/>
      <c r="AC415" s="117"/>
      <c r="AD415" s="118"/>
    </row>
    <row r="416" ht="15.75" customHeight="1">
      <c r="M416" s="113"/>
      <c r="N416" s="113"/>
      <c r="AC416" s="117"/>
      <c r="AD416" s="118"/>
    </row>
    <row r="417" ht="15.75" customHeight="1">
      <c r="M417" s="113"/>
      <c r="N417" s="113"/>
      <c r="AC417" s="117"/>
      <c r="AD417" s="118"/>
    </row>
    <row r="418" ht="15.75" customHeight="1">
      <c r="M418" s="113"/>
      <c r="N418" s="113"/>
      <c r="AC418" s="117"/>
      <c r="AD418" s="118"/>
    </row>
    <row r="419" ht="15.75" customHeight="1">
      <c r="M419" s="113"/>
      <c r="N419" s="113"/>
      <c r="AC419" s="117"/>
      <c r="AD419" s="118"/>
    </row>
    <row r="420" ht="15.75" customHeight="1">
      <c r="M420" s="113"/>
      <c r="N420" s="113"/>
      <c r="AC420" s="117"/>
      <c r="AD420" s="118"/>
    </row>
    <row r="421" ht="15.75" customHeight="1">
      <c r="M421" s="113"/>
      <c r="N421" s="113"/>
      <c r="AC421" s="117"/>
      <c r="AD421" s="118"/>
    </row>
    <row r="422" ht="15.75" customHeight="1">
      <c r="M422" s="113"/>
      <c r="N422" s="113"/>
      <c r="AC422" s="117"/>
      <c r="AD422" s="118"/>
    </row>
    <row r="423" ht="15.75" customHeight="1">
      <c r="M423" s="113"/>
      <c r="N423" s="113"/>
      <c r="AC423" s="117"/>
      <c r="AD423" s="118"/>
    </row>
    <row r="424" ht="15.75" customHeight="1">
      <c r="M424" s="113"/>
      <c r="N424" s="113"/>
      <c r="AC424" s="117"/>
      <c r="AD424" s="118"/>
    </row>
    <row r="425" ht="15.75" customHeight="1">
      <c r="M425" s="113"/>
      <c r="N425" s="113"/>
      <c r="AC425" s="117"/>
      <c r="AD425" s="118"/>
    </row>
    <row r="426" ht="15.75" customHeight="1">
      <c r="M426" s="113"/>
      <c r="N426" s="113"/>
      <c r="AC426" s="117"/>
      <c r="AD426" s="118"/>
    </row>
    <row r="427" ht="15.75" customHeight="1">
      <c r="M427" s="113"/>
      <c r="N427" s="113"/>
      <c r="AC427" s="117"/>
      <c r="AD427" s="118"/>
    </row>
    <row r="428" ht="15.75" customHeight="1">
      <c r="M428" s="113"/>
      <c r="N428" s="113"/>
      <c r="AC428" s="117"/>
      <c r="AD428" s="118"/>
    </row>
    <row r="429" ht="15.75" customHeight="1">
      <c r="M429" s="113"/>
      <c r="N429" s="113"/>
      <c r="AC429" s="117"/>
      <c r="AD429" s="118"/>
    </row>
    <row r="430" ht="15.75" customHeight="1">
      <c r="M430" s="113"/>
      <c r="N430" s="113"/>
      <c r="AC430" s="117"/>
      <c r="AD430" s="118"/>
    </row>
    <row r="431" ht="15.75" customHeight="1">
      <c r="M431" s="113"/>
      <c r="N431" s="113"/>
      <c r="AC431" s="117"/>
      <c r="AD431" s="118"/>
    </row>
    <row r="432" ht="15.75" customHeight="1">
      <c r="M432" s="113"/>
      <c r="N432" s="113"/>
      <c r="AC432" s="117"/>
      <c r="AD432" s="118"/>
    </row>
    <row r="433" ht="15.75" customHeight="1">
      <c r="M433" s="113"/>
      <c r="N433" s="113"/>
      <c r="AC433" s="117"/>
      <c r="AD433" s="118"/>
    </row>
    <row r="434" ht="15.75" customHeight="1">
      <c r="M434" s="113"/>
      <c r="N434" s="113"/>
      <c r="AC434" s="117"/>
      <c r="AD434" s="118"/>
    </row>
    <row r="435" ht="15.75" customHeight="1">
      <c r="M435" s="113"/>
      <c r="N435" s="113"/>
      <c r="AC435" s="117"/>
      <c r="AD435" s="118"/>
    </row>
    <row r="436" ht="15.75" customHeight="1">
      <c r="M436" s="113"/>
      <c r="N436" s="113"/>
      <c r="AC436" s="117"/>
      <c r="AD436" s="118"/>
    </row>
    <row r="437" ht="15.75" customHeight="1">
      <c r="M437" s="113"/>
      <c r="N437" s="113"/>
      <c r="AC437" s="117"/>
      <c r="AD437" s="118"/>
    </row>
    <row r="438" ht="15.75" customHeight="1">
      <c r="M438" s="113"/>
      <c r="N438" s="113"/>
      <c r="AC438" s="117"/>
      <c r="AD438" s="118"/>
    </row>
    <row r="439" ht="15.75" customHeight="1">
      <c r="M439" s="113"/>
      <c r="N439" s="113"/>
      <c r="AC439" s="117"/>
      <c r="AD439" s="118"/>
    </row>
    <row r="440" ht="15.75" customHeight="1">
      <c r="M440" s="113"/>
      <c r="N440" s="113"/>
      <c r="AC440" s="117"/>
      <c r="AD440" s="118"/>
    </row>
    <row r="441" ht="15.75" customHeight="1">
      <c r="M441" s="113"/>
      <c r="N441" s="113"/>
      <c r="AC441" s="117"/>
      <c r="AD441" s="118"/>
    </row>
    <row r="442" ht="15.75" customHeight="1">
      <c r="M442" s="113"/>
      <c r="N442" s="113"/>
      <c r="AC442" s="117"/>
      <c r="AD442" s="118"/>
    </row>
    <row r="443" ht="15.75" customHeight="1">
      <c r="M443" s="113"/>
      <c r="N443" s="113"/>
      <c r="AC443" s="117"/>
      <c r="AD443" s="118"/>
    </row>
    <row r="444" ht="15.75" customHeight="1">
      <c r="M444" s="113"/>
      <c r="N444" s="113"/>
      <c r="AC444" s="117"/>
      <c r="AD444" s="118"/>
    </row>
    <row r="445" ht="15.75" customHeight="1">
      <c r="M445" s="113"/>
      <c r="N445" s="113"/>
      <c r="AC445" s="117"/>
      <c r="AD445" s="118"/>
    </row>
    <row r="446" ht="15.75" customHeight="1">
      <c r="M446" s="113"/>
      <c r="N446" s="113"/>
      <c r="AC446" s="117"/>
      <c r="AD446" s="118"/>
    </row>
    <row r="447" ht="15.75" customHeight="1">
      <c r="M447" s="113"/>
      <c r="N447" s="113"/>
      <c r="AC447" s="117"/>
      <c r="AD447" s="118"/>
    </row>
    <row r="448" ht="15.75" customHeight="1">
      <c r="M448" s="113"/>
      <c r="N448" s="113"/>
      <c r="AC448" s="117"/>
      <c r="AD448" s="118"/>
    </row>
    <row r="449" ht="15.75" customHeight="1">
      <c r="M449" s="113"/>
      <c r="N449" s="113"/>
      <c r="AC449" s="117"/>
      <c r="AD449" s="118"/>
    </row>
    <row r="450" ht="15.75" customHeight="1">
      <c r="M450" s="113"/>
      <c r="N450" s="113"/>
      <c r="AC450" s="117"/>
      <c r="AD450" s="118"/>
    </row>
    <row r="451" ht="15.75" customHeight="1">
      <c r="M451" s="113"/>
      <c r="N451" s="113"/>
      <c r="AC451" s="117"/>
      <c r="AD451" s="118"/>
    </row>
    <row r="452" ht="15.75" customHeight="1">
      <c r="M452" s="113"/>
      <c r="N452" s="113"/>
      <c r="AC452" s="117"/>
      <c r="AD452" s="118"/>
    </row>
    <row r="453" ht="15.75" customHeight="1">
      <c r="M453" s="113"/>
      <c r="N453" s="113"/>
      <c r="AC453" s="117"/>
      <c r="AD453" s="118"/>
    </row>
    <row r="454" ht="15.75" customHeight="1">
      <c r="M454" s="113"/>
      <c r="N454" s="113"/>
      <c r="AC454" s="117"/>
      <c r="AD454" s="118"/>
    </row>
    <row r="455" ht="15.75" customHeight="1">
      <c r="M455" s="113"/>
      <c r="N455" s="113"/>
      <c r="AC455" s="117"/>
      <c r="AD455" s="118"/>
    </row>
    <row r="456" ht="15.75" customHeight="1">
      <c r="M456" s="113"/>
      <c r="N456" s="113"/>
      <c r="AC456" s="117"/>
      <c r="AD456" s="118"/>
    </row>
    <row r="457" ht="15.75" customHeight="1">
      <c r="M457" s="113"/>
      <c r="N457" s="113"/>
      <c r="AC457" s="117"/>
      <c r="AD457" s="118"/>
    </row>
    <row r="458" ht="15.75" customHeight="1">
      <c r="M458" s="113"/>
      <c r="N458" s="113"/>
      <c r="AC458" s="117"/>
      <c r="AD458" s="118"/>
    </row>
    <row r="459" ht="15.75" customHeight="1">
      <c r="M459" s="113"/>
      <c r="N459" s="113"/>
      <c r="AC459" s="117"/>
      <c r="AD459" s="118"/>
    </row>
    <row r="460" ht="15.75" customHeight="1">
      <c r="M460" s="113"/>
      <c r="N460" s="113"/>
      <c r="AC460" s="117"/>
      <c r="AD460" s="118"/>
    </row>
    <row r="461" ht="15.75" customHeight="1">
      <c r="M461" s="113"/>
      <c r="N461" s="113"/>
      <c r="AC461" s="117"/>
      <c r="AD461" s="118"/>
    </row>
    <row r="462" ht="15.75" customHeight="1">
      <c r="M462" s="113"/>
      <c r="N462" s="113"/>
      <c r="AC462" s="117"/>
      <c r="AD462" s="118"/>
    </row>
    <row r="463" ht="15.75" customHeight="1">
      <c r="M463" s="113"/>
      <c r="N463" s="113"/>
      <c r="AC463" s="117"/>
      <c r="AD463" s="118"/>
    </row>
    <row r="464" ht="15.75" customHeight="1">
      <c r="M464" s="113"/>
      <c r="N464" s="113"/>
      <c r="AC464" s="117"/>
      <c r="AD464" s="118"/>
    </row>
    <row r="465" ht="15.75" customHeight="1">
      <c r="M465" s="113"/>
      <c r="N465" s="113"/>
      <c r="AC465" s="117"/>
      <c r="AD465" s="118"/>
    </row>
    <row r="466" ht="15.75" customHeight="1">
      <c r="M466" s="113"/>
      <c r="N466" s="113"/>
      <c r="AC466" s="117"/>
      <c r="AD466" s="118"/>
    </row>
    <row r="467" ht="15.75" customHeight="1">
      <c r="M467" s="113"/>
      <c r="N467" s="113"/>
      <c r="AC467" s="117"/>
      <c r="AD467" s="118"/>
    </row>
    <row r="468" ht="15.75" customHeight="1">
      <c r="M468" s="113"/>
      <c r="N468" s="113"/>
      <c r="AC468" s="117"/>
      <c r="AD468" s="118"/>
    </row>
    <row r="469" ht="15.75" customHeight="1">
      <c r="M469" s="113"/>
      <c r="N469" s="113"/>
      <c r="AC469" s="117"/>
      <c r="AD469" s="118"/>
    </row>
    <row r="470" ht="15.75" customHeight="1">
      <c r="M470" s="113"/>
      <c r="N470" s="113"/>
      <c r="AC470" s="117"/>
      <c r="AD470" s="118"/>
    </row>
    <row r="471" ht="15.75" customHeight="1">
      <c r="M471" s="113"/>
      <c r="N471" s="113"/>
      <c r="AC471" s="117"/>
      <c r="AD471" s="118"/>
    </row>
    <row r="472" ht="15.75" customHeight="1">
      <c r="M472" s="113"/>
      <c r="N472" s="113"/>
      <c r="AC472" s="117"/>
      <c r="AD472" s="118"/>
    </row>
    <row r="473" ht="15.75" customHeight="1">
      <c r="M473" s="113"/>
      <c r="N473" s="113"/>
      <c r="AC473" s="117"/>
      <c r="AD473" s="118"/>
    </row>
    <row r="474" ht="15.75" customHeight="1">
      <c r="M474" s="113"/>
      <c r="N474" s="113"/>
      <c r="AC474" s="117"/>
      <c r="AD474" s="118"/>
    </row>
    <row r="475" ht="15.75" customHeight="1">
      <c r="M475" s="113"/>
      <c r="N475" s="113"/>
      <c r="AC475" s="117"/>
      <c r="AD475" s="118"/>
    </row>
    <row r="476" ht="15.75" customHeight="1">
      <c r="M476" s="113"/>
      <c r="N476" s="113"/>
      <c r="AC476" s="117"/>
      <c r="AD476" s="118"/>
    </row>
    <row r="477" ht="15.75" customHeight="1">
      <c r="M477" s="113"/>
      <c r="N477" s="113"/>
      <c r="AC477" s="117"/>
      <c r="AD477" s="118"/>
    </row>
    <row r="478" ht="15.75" customHeight="1">
      <c r="M478" s="113"/>
      <c r="N478" s="113"/>
      <c r="AC478" s="117"/>
      <c r="AD478" s="118"/>
    </row>
    <row r="479" ht="15.75" customHeight="1">
      <c r="M479" s="113"/>
      <c r="N479" s="113"/>
      <c r="AC479" s="117"/>
      <c r="AD479" s="118"/>
    </row>
    <row r="480" ht="15.75" customHeight="1">
      <c r="M480" s="113"/>
      <c r="N480" s="113"/>
      <c r="AC480" s="117"/>
      <c r="AD480" s="118"/>
    </row>
    <row r="481" ht="15.75" customHeight="1">
      <c r="M481" s="113"/>
      <c r="N481" s="113"/>
      <c r="AC481" s="117"/>
      <c r="AD481" s="118"/>
    </row>
    <row r="482" ht="15.75" customHeight="1">
      <c r="M482" s="113"/>
      <c r="N482" s="113"/>
      <c r="AC482" s="117"/>
      <c r="AD482" s="118"/>
    </row>
    <row r="483" ht="15.75" customHeight="1">
      <c r="M483" s="113"/>
      <c r="N483" s="113"/>
      <c r="AC483" s="117"/>
      <c r="AD483" s="118"/>
    </row>
    <row r="484" ht="15.75" customHeight="1">
      <c r="M484" s="113"/>
      <c r="N484" s="113"/>
      <c r="AC484" s="117"/>
      <c r="AD484" s="118"/>
    </row>
    <row r="485" ht="15.75" customHeight="1">
      <c r="M485" s="113"/>
      <c r="N485" s="113"/>
      <c r="AC485" s="117"/>
      <c r="AD485" s="118"/>
    </row>
    <row r="486" ht="15.75" customHeight="1">
      <c r="M486" s="113"/>
      <c r="N486" s="113"/>
      <c r="AC486" s="117"/>
      <c r="AD486" s="118"/>
    </row>
    <row r="487" ht="15.75" customHeight="1">
      <c r="M487" s="113"/>
      <c r="N487" s="113"/>
      <c r="AC487" s="117"/>
      <c r="AD487" s="118"/>
    </row>
    <row r="488" ht="15.75" customHeight="1">
      <c r="M488" s="113"/>
      <c r="N488" s="113"/>
      <c r="AC488" s="117"/>
      <c r="AD488" s="118"/>
    </row>
    <row r="489" ht="15.75" customHeight="1">
      <c r="M489" s="113"/>
      <c r="N489" s="113"/>
      <c r="AC489" s="117"/>
      <c r="AD489" s="118"/>
    </row>
    <row r="490" ht="15.75" customHeight="1">
      <c r="M490" s="113"/>
      <c r="N490" s="113"/>
      <c r="AC490" s="117"/>
      <c r="AD490" s="118"/>
    </row>
    <row r="491" ht="15.75" customHeight="1">
      <c r="M491" s="113"/>
      <c r="N491" s="113"/>
      <c r="AC491" s="117"/>
      <c r="AD491" s="118"/>
    </row>
    <row r="492" ht="15.75" customHeight="1">
      <c r="M492" s="113"/>
      <c r="N492" s="113"/>
      <c r="AC492" s="117"/>
      <c r="AD492" s="118"/>
    </row>
    <row r="493" ht="15.75" customHeight="1">
      <c r="M493" s="113"/>
      <c r="N493" s="113"/>
      <c r="AC493" s="117"/>
      <c r="AD493" s="118"/>
    </row>
    <row r="494" ht="15.75" customHeight="1">
      <c r="M494" s="113"/>
      <c r="N494" s="113"/>
      <c r="AC494" s="117"/>
      <c r="AD494" s="118"/>
    </row>
    <row r="495" ht="15.75" customHeight="1">
      <c r="M495" s="113"/>
      <c r="N495" s="113"/>
      <c r="AC495" s="117"/>
      <c r="AD495" s="118"/>
    </row>
    <row r="496" ht="15.75" customHeight="1">
      <c r="M496" s="113"/>
      <c r="N496" s="113"/>
      <c r="AC496" s="117"/>
      <c r="AD496" s="118"/>
    </row>
    <row r="497" ht="15.75" customHeight="1">
      <c r="M497" s="113"/>
      <c r="N497" s="113"/>
      <c r="AC497" s="117"/>
      <c r="AD497" s="118"/>
    </row>
    <row r="498" ht="15.75" customHeight="1">
      <c r="M498" s="113"/>
      <c r="N498" s="113"/>
      <c r="AC498" s="117"/>
      <c r="AD498" s="118"/>
    </row>
    <row r="499" ht="15.75" customHeight="1">
      <c r="M499" s="113"/>
      <c r="N499" s="113"/>
      <c r="AC499" s="117"/>
      <c r="AD499" s="118"/>
    </row>
    <row r="500" ht="15.75" customHeight="1">
      <c r="M500" s="113"/>
      <c r="N500" s="113"/>
      <c r="AC500" s="117"/>
      <c r="AD500" s="118"/>
    </row>
    <row r="501" ht="15.75" customHeight="1">
      <c r="M501" s="113"/>
      <c r="N501" s="113"/>
      <c r="AC501" s="117"/>
      <c r="AD501" s="118"/>
    </row>
    <row r="502" ht="15.75" customHeight="1">
      <c r="M502" s="113"/>
      <c r="N502" s="113"/>
      <c r="AC502" s="117"/>
      <c r="AD502" s="118"/>
    </row>
    <row r="503" ht="15.75" customHeight="1">
      <c r="M503" s="113"/>
      <c r="N503" s="113"/>
      <c r="AC503" s="117"/>
      <c r="AD503" s="118"/>
    </row>
    <row r="504" ht="15.75" customHeight="1">
      <c r="M504" s="113"/>
      <c r="N504" s="113"/>
      <c r="AC504" s="117"/>
      <c r="AD504" s="118"/>
    </row>
    <row r="505" ht="15.75" customHeight="1">
      <c r="M505" s="113"/>
      <c r="N505" s="113"/>
      <c r="AC505" s="117"/>
      <c r="AD505" s="118"/>
    </row>
    <row r="506" ht="15.75" customHeight="1">
      <c r="M506" s="113"/>
      <c r="N506" s="113"/>
      <c r="AC506" s="117"/>
      <c r="AD506" s="118"/>
    </row>
    <row r="507" ht="15.75" customHeight="1">
      <c r="M507" s="113"/>
      <c r="N507" s="113"/>
      <c r="AC507" s="117"/>
      <c r="AD507" s="118"/>
    </row>
    <row r="508" ht="15.75" customHeight="1">
      <c r="M508" s="113"/>
      <c r="N508" s="113"/>
      <c r="AC508" s="117"/>
      <c r="AD508" s="118"/>
    </row>
    <row r="509" ht="15.75" customHeight="1">
      <c r="M509" s="113"/>
      <c r="N509" s="113"/>
      <c r="AC509" s="117"/>
      <c r="AD509" s="118"/>
    </row>
    <row r="510" ht="15.75" customHeight="1">
      <c r="M510" s="113"/>
      <c r="N510" s="113"/>
      <c r="AC510" s="117"/>
      <c r="AD510" s="118"/>
    </row>
    <row r="511" ht="15.75" customHeight="1">
      <c r="M511" s="113"/>
      <c r="N511" s="113"/>
      <c r="AC511" s="117"/>
      <c r="AD511" s="118"/>
    </row>
    <row r="512" ht="15.75" customHeight="1">
      <c r="M512" s="113"/>
      <c r="N512" s="113"/>
      <c r="AC512" s="117"/>
      <c r="AD512" s="118"/>
    </row>
    <row r="513" ht="15.75" customHeight="1">
      <c r="M513" s="113"/>
      <c r="N513" s="113"/>
      <c r="AC513" s="117"/>
      <c r="AD513" s="118"/>
    </row>
    <row r="514" ht="15.75" customHeight="1">
      <c r="M514" s="113"/>
      <c r="N514" s="113"/>
      <c r="AC514" s="117"/>
      <c r="AD514" s="118"/>
    </row>
    <row r="515" ht="15.75" customHeight="1">
      <c r="M515" s="113"/>
      <c r="N515" s="113"/>
      <c r="AC515" s="117"/>
      <c r="AD515" s="118"/>
    </row>
    <row r="516" ht="15.75" customHeight="1">
      <c r="M516" s="113"/>
      <c r="N516" s="113"/>
      <c r="AC516" s="117"/>
      <c r="AD516" s="118"/>
    </row>
    <row r="517" ht="15.75" customHeight="1">
      <c r="M517" s="113"/>
      <c r="N517" s="113"/>
      <c r="AC517" s="117"/>
      <c r="AD517" s="118"/>
    </row>
    <row r="518" ht="15.75" customHeight="1">
      <c r="M518" s="113"/>
      <c r="N518" s="113"/>
      <c r="AC518" s="117"/>
      <c r="AD518" s="118"/>
    </row>
    <row r="519" ht="15.75" customHeight="1">
      <c r="M519" s="113"/>
      <c r="N519" s="113"/>
      <c r="AC519" s="117"/>
      <c r="AD519" s="118"/>
    </row>
    <row r="520" ht="15.75" customHeight="1">
      <c r="M520" s="113"/>
      <c r="N520" s="113"/>
      <c r="AC520" s="117"/>
      <c r="AD520" s="118"/>
    </row>
    <row r="521" ht="15.75" customHeight="1">
      <c r="M521" s="113"/>
      <c r="N521" s="113"/>
      <c r="AC521" s="117"/>
      <c r="AD521" s="118"/>
    </row>
    <row r="522" ht="15.75" customHeight="1">
      <c r="M522" s="113"/>
      <c r="N522" s="113"/>
      <c r="AC522" s="117"/>
      <c r="AD522" s="118"/>
    </row>
    <row r="523" ht="15.75" customHeight="1">
      <c r="M523" s="113"/>
      <c r="N523" s="113"/>
      <c r="AC523" s="117"/>
      <c r="AD523" s="118"/>
    </row>
    <row r="524" ht="15.75" customHeight="1">
      <c r="M524" s="113"/>
      <c r="N524" s="113"/>
      <c r="AC524" s="117"/>
      <c r="AD524" s="118"/>
    </row>
    <row r="525" ht="15.75" customHeight="1">
      <c r="M525" s="113"/>
      <c r="N525" s="113"/>
      <c r="AC525" s="117"/>
      <c r="AD525" s="118"/>
    </row>
    <row r="526" ht="15.75" customHeight="1">
      <c r="M526" s="113"/>
      <c r="N526" s="113"/>
      <c r="AC526" s="117"/>
      <c r="AD526" s="118"/>
    </row>
    <row r="527" ht="15.75" customHeight="1">
      <c r="M527" s="113"/>
      <c r="N527" s="113"/>
      <c r="AC527" s="117"/>
      <c r="AD527" s="118"/>
    </row>
    <row r="528" ht="15.75" customHeight="1">
      <c r="M528" s="113"/>
      <c r="N528" s="113"/>
      <c r="AC528" s="117"/>
      <c r="AD528" s="118"/>
    </row>
    <row r="529" ht="15.75" customHeight="1">
      <c r="M529" s="113"/>
      <c r="N529" s="113"/>
      <c r="AC529" s="117"/>
      <c r="AD529" s="118"/>
    </row>
    <row r="530" ht="15.75" customHeight="1">
      <c r="M530" s="113"/>
      <c r="N530" s="113"/>
      <c r="AC530" s="117"/>
      <c r="AD530" s="118"/>
    </row>
    <row r="531" ht="15.75" customHeight="1">
      <c r="M531" s="113"/>
      <c r="N531" s="113"/>
      <c r="AC531" s="117"/>
      <c r="AD531" s="118"/>
    </row>
    <row r="532" ht="15.75" customHeight="1">
      <c r="M532" s="113"/>
      <c r="N532" s="113"/>
      <c r="AC532" s="117"/>
      <c r="AD532" s="118"/>
    </row>
    <row r="533" ht="15.75" customHeight="1">
      <c r="M533" s="113"/>
      <c r="N533" s="113"/>
      <c r="AC533" s="117"/>
      <c r="AD533" s="118"/>
    </row>
    <row r="534" ht="15.75" customHeight="1">
      <c r="M534" s="113"/>
      <c r="N534" s="113"/>
      <c r="AC534" s="117"/>
      <c r="AD534" s="118"/>
    </row>
    <row r="535" ht="15.75" customHeight="1">
      <c r="M535" s="113"/>
      <c r="N535" s="113"/>
      <c r="AC535" s="117"/>
      <c r="AD535" s="118"/>
    </row>
    <row r="536" ht="15.75" customHeight="1">
      <c r="M536" s="113"/>
      <c r="N536" s="113"/>
      <c r="AC536" s="117"/>
      <c r="AD536" s="118"/>
    </row>
    <row r="537" ht="15.75" customHeight="1">
      <c r="M537" s="113"/>
      <c r="N537" s="113"/>
      <c r="AC537" s="117"/>
      <c r="AD537" s="118"/>
    </row>
    <row r="538" ht="15.75" customHeight="1">
      <c r="M538" s="113"/>
      <c r="N538" s="113"/>
      <c r="AC538" s="117"/>
      <c r="AD538" s="118"/>
    </row>
    <row r="539" ht="15.75" customHeight="1">
      <c r="M539" s="113"/>
      <c r="N539" s="113"/>
      <c r="AC539" s="117"/>
      <c r="AD539" s="118"/>
    </row>
    <row r="540" ht="15.75" customHeight="1">
      <c r="M540" s="113"/>
      <c r="N540" s="113"/>
      <c r="AC540" s="117"/>
      <c r="AD540" s="118"/>
    </row>
    <row r="541" ht="15.75" customHeight="1">
      <c r="M541" s="113"/>
      <c r="N541" s="113"/>
      <c r="AC541" s="117"/>
      <c r="AD541" s="118"/>
    </row>
    <row r="542" ht="15.75" customHeight="1">
      <c r="M542" s="113"/>
      <c r="N542" s="113"/>
      <c r="AC542" s="117"/>
      <c r="AD542" s="118"/>
    </row>
    <row r="543" ht="15.75" customHeight="1">
      <c r="M543" s="113"/>
      <c r="N543" s="113"/>
      <c r="AC543" s="117"/>
      <c r="AD543" s="118"/>
    </row>
    <row r="544" ht="15.75" customHeight="1">
      <c r="M544" s="113"/>
      <c r="N544" s="113"/>
      <c r="AC544" s="117"/>
      <c r="AD544" s="118"/>
    </row>
    <row r="545" ht="15.75" customHeight="1">
      <c r="M545" s="113"/>
      <c r="N545" s="113"/>
      <c r="AC545" s="117"/>
      <c r="AD545" s="118"/>
    </row>
    <row r="546" ht="15.75" customHeight="1">
      <c r="M546" s="113"/>
      <c r="N546" s="113"/>
      <c r="AC546" s="117"/>
      <c r="AD546" s="118"/>
    </row>
    <row r="547" ht="15.75" customHeight="1">
      <c r="M547" s="113"/>
      <c r="N547" s="113"/>
      <c r="AC547" s="117"/>
      <c r="AD547" s="118"/>
    </row>
    <row r="548" ht="15.75" customHeight="1">
      <c r="M548" s="113"/>
      <c r="N548" s="113"/>
      <c r="AC548" s="117"/>
      <c r="AD548" s="118"/>
    </row>
    <row r="549" ht="15.75" customHeight="1">
      <c r="M549" s="113"/>
      <c r="N549" s="113"/>
      <c r="AC549" s="117"/>
      <c r="AD549" s="118"/>
    </row>
    <row r="550" ht="15.75" customHeight="1">
      <c r="M550" s="113"/>
      <c r="N550" s="113"/>
      <c r="AC550" s="117"/>
      <c r="AD550" s="118"/>
    </row>
    <row r="551" ht="15.75" customHeight="1">
      <c r="M551" s="113"/>
      <c r="N551" s="113"/>
      <c r="AC551" s="117"/>
      <c r="AD551" s="118"/>
    </row>
    <row r="552" ht="15.75" customHeight="1">
      <c r="M552" s="113"/>
      <c r="N552" s="113"/>
      <c r="AC552" s="117"/>
      <c r="AD552" s="118"/>
    </row>
    <row r="553" ht="15.75" customHeight="1">
      <c r="M553" s="113"/>
      <c r="N553" s="113"/>
      <c r="AC553" s="117"/>
      <c r="AD553" s="118"/>
    </row>
    <row r="554" ht="15.75" customHeight="1">
      <c r="M554" s="113"/>
      <c r="N554" s="113"/>
      <c r="AC554" s="117"/>
      <c r="AD554" s="118"/>
    </row>
    <row r="555" ht="15.75" customHeight="1">
      <c r="M555" s="113"/>
      <c r="N555" s="113"/>
      <c r="AC555" s="117"/>
      <c r="AD555" s="118"/>
    </row>
    <row r="556" ht="15.75" customHeight="1">
      <c r="M556" s="113"/>
      <c r="N556" s="113"/>
      <c r="AC556" s="117"/>
      <c r="AD556" s="118"/>
    </row>
    <row r="557" ht="15.75" customHeight="1">
      <c r="M557" s="113"/>
      <c r="N557" s="113"/>
      <c r="AC557" s="117"/>
      <c r="AD557" s="118"/>
    </row>
    <row r="558" ht="15.75" customHeight="1">
      <c r="M558" s="113"/>
      <c r="N558" s="113"/>
      <c r="AC558" s="117"/>
      <c r="AD558" s="118"/>
    </row>
    <row r="559" ht="15.75" customHeight="1">
      <c r="M559" s="113"/>
      <c r="N559" s="113"/>
      <c r="AC559" s="117"/>
      <c r="AD559" s="118"/>
    </row>
    <row r="560" ht="15.75" customHeight="1">
      <c r="M560" s="113"/>
      <c r="N560" s="113"/>
      <c r="AC560" s="117"/>
      <c r="AD560" s="118"/>
    </row>
    <row r="561" ht="15.75" customHeight="1">
      <c r="M561" s="113"/>
      <c r="N561" s="113"/>
      <c r="AC561" s="117"/>
      <c r="AD561" s="118"/>
    </row>
    <row r="562" ht="15.75" customHeight="1">
      <c r="M562" s="113"/>
      <c r="N562" s="113"/>
      <c r="AC562" s="117"/>
      <c r="AD562" s="118"/>
    </row>
    <row r="563" ht="15.75" customHeight="1">
      <c r="M563" s="113"/>
      <c r="N563" s="113"/>
      <c r="AC563" s="117"/>
      <c r="AD563" s="118"/>
    </row>
    <row r="564" ht="15.75" customHeight="1">
      <c r="M564" s="113"/>
      <c r="N564" s="113"/>
      <c r="AC564" s="117"/>
      <c r="AD564" s="118"/>
    </row>
    <row r="565" ht="15.75" customHeight="1">
      <c r="M565" s="113"/>
      <c r="N565" s="113"/>
      <c r="AC565" s="117"/>
      <c r="AD565" s="118"/>
    </row>
    <row r="566" ht="15.75" customHeight="1">
      <c r="M566" s="113"/>
      <c r="N566" s="113"/>
      <c r="AC566" s="117"/>
      <c r="AD566" s="118"/>
    </row>
    <row r="567" ht="15.75" customHeight="1">
      <c r="M567" s="113"/>
      <c r="N567" s="113"/>
      <c r="AC567" s="117"/>
      <c r="AD567" s="118"/>
    </row>
    <row r="568" ht="15.75" customHeight="1">
      <c r="M568" s="113"/>
      <c r="N568" s="113"/>
      <c r="AC568" s="117"/>
      <c r="AD568" s="118"/>
    </row>
    <row r="569" ht="15.75" customHeight="1">
      <c r="M569" s="113"/>
      <c r="N569" s="113"/>
      <c r="AC569" s="117"/>
      <c r="AD569" s="118"/>
    </row>
    <row r="570" ht="15.75" customHeight="1">
      <c r="M570" s="113"/>
      <c r="N570" s="113"/>
      <c r="AC570" s="117"/>
      <c r="AD570" s="118"/>
    </row>
    <row r="571" ht="15.75" customHeight="1">
      <c r="M571" s="113"/>
      <c r="N571" s="113"/>
      <c r="AC571" s="117"/>
      <c r="AD571" s="118"/>
    </row>
    <row r="572" ht="15.75" customHeight="1">
      <c r="M572" s="113"/>
      <c r="N572" s="113"/>
      <c r="AC572" s="117"/>
      <c r="AD572" s="118"/>
    </row>
    <row r="573" ht="15.75" customHeight="1">
      <c r="M573" s="113"/>
      <c r="N573" s="113"/>
      <c r="AC573" s="117"/>
      <c r="AD573" s="118"/>
    </row>
    <row r="574" ht="15.75" customHeight="1">
      <c r="M574" s="113"/>
      <c r="N574" s="113"/>
      <c r="AC574" s="117"/>
      <c r="AD574" s="118"/>
    </row>
    <row r="575" ht="15.75" customHeight="1">
      <c r="M575" s="113"/>
      <c r="N575" s="113"/>
      <c r="AC575" s="117"/>
      <c r="AD575" s="118"/>
    </row>
    <row r="576" ht="15.75" customHeight="1">
      <c r="M576" s="113"/>
      <c r="N576" s="113"/>
      <c r="AC576" s="117"/>
      <c r="AD576" s="118"/>
    </row>
    <row r="577" ht="15.75" customHeight="1">
      <c r="M577" s="113"/>
      <c r="N577" s="113"/>
      <c r="AC577" s="117"/>
      <c r="AD577" s="118"/>
    </row>
    <row r="578" ht="15.75" customHeight="1">
      <c r="M578" s="113"/>
      <c r="N578" s="113"/>
      <c r="AC578" s="117"/>
      <c r="AD578" s="118"/>
    </row>
    <row r="579" ht="15.75" customHeight="1">
      <c r="M579" s="113"/>
      <c r="N579" s="113"/>
      <c r="AC579" s="117"/>
      <c r="AD579" s="118"/>
    </row>
    <row r="580" ht="15.75" customHeight="1">
      <c r="M580" s="113"/>
      <c r="N580" s="113"/>
      <c r="AC580" s="117"/>
      <c r="AD580" s="118"/>
    </row>
    <row r="581" ht="15.75" customHeight="1">
      <c r="M581" s="113"/>
      <c r="N581" s="113"/>
      <c r="AC581" s="117"/>
      <c r="AD581" s="118"/>
    </row>
    <row r="582" ht="15.75" customHeight="1">
      <c r="M582" s="113"/>
      <c r="N582" s="113"/>
      <c r="AC582" s="117"/>
      <c r="AD582" s="118"/>
    </row>
    <row r="583" ht="15.75" customHeight="1">
      <c r="M583" s="113"/>
      <c r="N583" s="113"/>
      <c r="AC583" s="117"/>
      <c r="AD583" s="118"/>
    </row>
    <row r="584" ht="15.75" customHeight="1">
      <c r="M584" s="113"/>
      <c r="N584" s="113"/>
      <c r="AC584" s="117"/>
      <c r="AD584" s="118"/>
    </row>
    <row r="585" ht="15.75" customHeight="1">
      <c r="M585" s="113"/>
      <c r="N585" s="113"/>
      <c r="AC585" s="117"/>
      <c r="AD585" s="118"/>
    </row>
    <row r="586" ht="15.75" customHeight="1">
      <c r="M586" s="113"/>
      <c r="N586" s="113"/>
      <c r="AC586" s="117"/>
      <c r="AD586" s="118"/>
    </row>
    <row r="587" ht="15.75" customHeight="1">
      <c r="M587" s="113"/>
      <c r="N587" s="113"/>
      <c r="AC587" s="117"/>
      <c r="AD587" s="118"/>
    </row>
    <row r="588" ht="15.75" customHeight="1">
      <c r="M588" s="113"/>
      <c r="N588" s="113"/>
      <c r="AC588" s="117"/>
      <c r="AD588" s="118"/>
    </row>
    <row r="589" ht="15.75" customHeight="1">
      <c r="M589" s="113"/>
      <c r="N589" s="113"/>
      <c r="AC589" s="117"/>
      <c r="AD589" s="118"/>
    </row>
    <row r="590" ht="15.75" customHeight="1">
      <c r="M590" s="113"/>
      <c r="N590" s="113"/>
      <c r="AC590" s="117"/>
      <c r="AD590" s="118"/>
    </row>
    <row r="591" ht="15.75" customHeight="1">
      <c r="M591" s="113"/>
      <c r="N591" s="113"/>
      <c r="AC591" s="117"/>
      <c r="AD591" s="118"/>
    </row>
    <row r="592" ht="15.75" customHeight="1">
      <c r="M592" s="113"/>
      <c r="N592" s="113"/>
      <c r="AC592" s="117"/>
      <c r="AD592" s="118"/>
    </row>
    <row r="593" ht="15.75" customHeight="1">
      <c r="M593" s="113"/>
      <c r="N593" s="113"/>
      <c r="AC593" s="117"/>
      <c r="AD593" s="118"/>
    </row>
    <row r="594" ht="15.75" customHeight="1">
      <c r="M594" s="113"/>
      <c r="N594" s="113"/>
      <c r="AC594" s="117"/>
      <c r="AD594" s="118"/>
    </row>
    <row r="595" ht="15.75" customHeight="1">
      <c r="M595" s="113"/>
      <c r="N595" s="113"/>
      <c r="AC595" s="117"/>
      <c r="AD595" s="118"/>
    </row>
    <row r="596" ht="15.75" customHeight="1">
      <c r="M596" s="113"/>
      <c r="N596" s="113"/>
      <c r="AC596" s="117"/>
      <c r="AD596" s="118"/>
    </row>
    <row r="597" ht="15.75" customHeight="1">
      <c r="M597" s="113"/>
      <c r="N597" s="113"/>
      <c r="AC597" s="117"/>
      <c r="AD597" s="118"/>
    </row>
    <row r="598" ht="15.75" customHeight="1">
      <c r="M598" s="113"/>
      <c r="N598" s="113"/>
      <c r="AC598" s="117"/>
      <c r="AD598" s="118"/>
    </row>
    <row r="599" ht="15.75" customHeight="1">
      <c r="M599" s="113"/>
      <c r="N599" s="113"/>
      <c r="AC599" s="117"/>
      <c r="AD599" s="118"/>
    </row>
    <row r="600" ht="15.75" customHeight="1">
      <c r="M600" s="113"/>
      <c r="N600" s="113"/>
      <c r="AC600" s="117"/>
      <c r="AD600" s="118"/>
    </row>
    <row r="601" ht="15.75" customHeight="1">
      <c r="M601" s="113"/>
      <c r="N601" s="113"/>
      <c r="AC601" s="117"/>
      <c r="AD601" s="118"/>
    </row>
    <row r="602" ht="15.75" customHeight="1">
      <c r="M602" s="113"/>
      <c r="N602" s="113"/>
      <c r="AC602" s="117"/>
      <c r="AD602" s="118"/>
    </row>
    <row r="603" ht="15.75" customHeight="1">
      <c r="M603" s="113"/>
      <c r="N603" s="113"/>
      <c r="AC603" s="117"/>
      <c r="AD603" s="118"/>
    </row>
    <row r="604" ht="15.75" customHeight="1">
      <c r="M604" s="113"/>
      <c r="N604" s="113"/>
      <c r="AC604" s="117"/>
      <c r="AD604" s="118"/>
    </row>
    <row r="605" ht="15.75" customHeight="1">
      <c r="M605" s="113"/>
      <c r="N605" s="113"/>
      <c r="AC605" s="117"/>
      <c r="AD605" s="118"/>
    </row>
    <row r="606" ht="15.75" customHeight="1">
      <c r="M606" s="113"/>
      <c r="N606" s="113"/>
      <c r="AC606" s="117"/>
      <c r="AD606" s="118"/>
    </row>
    <row r="607" ht="15.75" customHeight="1">
      <c r="M607" s="113"/>
      <c r="N607" s="113"/>
      <c r="AC607" s="117"/>
      <c r="AD607" s="118"/>
    </row>
    <row r="608" ht="15.75" customHeight="1">
      <c r="M608" s="113"/>
      <c r="N608" s="113"/>
      <c r="AC608" s="117"/>
      <c r="AD608" s="118"/>
    </row>
    <row r="609" ht="15.75" customHeight="1">
      <c r="M609" s="113"/>
      <c r="N609" s="113"/>
      <c r="AC609" s="117"/>
      <c r="AD609" s="118"/>
    </row>
    <row r="610" ht="15.75" customHeight="1">
      <c r="M610" s="113"/>
      <c r="N610" s="113"/>
      <c r="AC610" s="117"/>
      <c r="AD610" s="118"/>
    </row>
    <row r="611" ht="15.75" customHeight="1">
      <c r="M611" s="113"/>
      <c r="N611" s="113"/>
      <c r="AC611" s="117"/>
      <c r="AD611" s="118"/>
    </row>
    <row r="612" ht="15.75" customHeight="1">
      <c r="M612" s="113"/>
      <c r="N612" s="113"/>
      <c r="AC612" s="117"/>
      <c r="AD612" s="118"/>
    </row>
    <row r="613" ht="15.75" customHeight="1">
      <c r="M613" s="113"/>
      <c r="N613" s="113"/>
      <c r="AC613" s="117"/>
      <c r="AD613" s="118"/>
    </row>
    <row r="614" ht="15.75" customHeight="1">
      <c r="M614" s="113"/>
      <c r="N614" s="113"/>
      <c r="AC614" s="117"/>
      <c r="AD614" s="118"/>
    </row>
    <row r="615" ht="15.75" customHeight="1">
      <c r="M615" s="113"/>
      <c r="N615" s="113"/>
      <c r="AC615" s="117"/>
      <c r="AD615" s="118"/>
    </row>
    <row r="616" ht="15.75" customHeight="1">
      <c r="M616" s="113"/>
      <c r="N616" s="113"/>
      <c r="AC616" s="117"/>
      <c r="AD616" s="118"/>
    </row>
    <row r="617" ht="15.75" customHeight="1">
      <c r="M617" s="113"/>
      <c r="N617" s="113"/>
      <c r="AC617" s="117"/>
      <c r="AD617" s="118"/>
    </row>
    <row r="618" ht="15.75" customHeight="1">
      <c r="M618" s="113"/>
      <c r="N618" s="113"/>
      <c r="AC618" s="117"/>
      <c r="AD618" s="118"/>
    </row>
    <row r="619" ht="15.75" customHeight="1">
      <c r="M619" s="113"/>
      <c r="N619" s="113"/>
      <c r="AC619" s="117"/>
      <c r="AD619" s="118"/>
    </row>
    <row r="620" ht="15.75" customHeight="1">
      <c r="M620" s="113"/>
      <c r="N620" s="113"/>
      <c r="AC620" s="117"/>
      <c r="AD620" s="118"/>
    </row>
    <row r="621" ht="15.75" customHeight="1">
      <c r="M621" s="113"/>
      <c r="N621" s="113"/>
      <c r="AC621" s="117"/>
      <c r="AD621" s="118"/>
    </row>
    <row r="622" ht="15.75" customHeight="1">
      <c r="M622" s="113"/>
      <c r="N622" s="113"/>
      <c r="AC622" s="117"/>
      <c r="AD622" s="118"/>
    </row>
    <row r="623" ht="15.75" customHeight="1">
      <c r="M623" s="113"/>
      <c r="N623" s="113"/>
      <c r="AC623" s="117"/>
      <c r="AD623" s="118"/>
    </row>
    <row r="624" ht="15.75" customHeight="1">
      <c r="M624" s="113"/>
      <c r="N624" s="113"/>
      <c r="AC624" s="117"/>
      <c r="AD624" s="118"/>
    </row>
    <row r="625" ht="15.75" customHeight="1">
      <c r="M625" s="113"/>
      <c r="N625" s="113"/>
      <c r="AC625" s="117"/>
      <c r="AD625" s="118"/>
    </row>
    <row r="626" ht="15.75" customHeight="1">
      <c r="M626" s="113"/>
      <c r="N626" s="113"/>
      <c r="AC626" s="117"/>
      <c r="AD626" s="118"/>
    </row>
    <row r="627" ht="15.75" customHeight="1">
      <c r="M627" s="113"/>
      <c r="N627" s="113"/>
      <c r="AC627" s="117"/>
      <c r="AD627" s="118"/>
    </row>
    <row r="628" ht="15.75" customHeight="1">
      <c r="M628" s="113"/>
      <c r="N628" s="113"/>
      <c r="AC628" s="117"/>
      <c r="AD628" s="118"/>
    </row>
    <row r="629" ht="15.75" customHeight="1">
      <c r="M629" s="113"/>
      <c r="N629" s="113"/>
      <c r="AC629" s="117"/>
      <c r="AD629" s="118"/>
    </row>
    <row r="630" ht="15.75" customHeight="1">
      <c r="M630" s="113"/>
      <c r="N630" s="113"/>
      <c r="AC630" s="117"/>
      <c r="AD630" s="118"/>
    </row>
    <row r="631" ht="15.75" customHeight="1">
      <c r="M631" s="113"/>
      <c r="N631" s="113"/>
      <c r="AC631" s="117"/>
      <c r="AD631" s="118"/>
    </row>
    <row r="632" ht="15.75" customHeight="1">
      <c r="M632" s="113"/>
      <c r="N632" s="113"/>
      <c r="AC632" s="117"/>
      <c r="AD632" s="118"/>
    </row>
    <row r="633" ht="15.75" customHeight="1">
      <c r="M633" s="113"/>
      <c r="N633" s="113"/>
      <c r="AC633" s="117"/>
      <c r="AD633" s="118"/>
    </row>
    <row r="634" ht="15.75" customHeight="1">
      <c r="M634" s="113"/>
      <c r="N634" s="113"/>
      <c r="AC634" s="117"/>
      <c r="AD634" s="118"/>
    </row>
    <row r="635" ht="15.75" customHeight="1">
      <c r="M635" s="113"/>
      <c r="N635" s="113"/>
      <c r="AC635" s="117"/>
      <c r="AD635" s="118"/>
    </row>
    <row r="636" ht="15.75" customHeight="1">
      <c r="M636" s="113"/>
      <c r="N636" s="113"/>
      <c r="AC636" s="117"/>
      <c r="AD636" s="118"/>
    </row>
    <row r="637" ht="15.75" customHeight="1">
      <c r="M637" s="113"/>
      <c r="N637" s="113"/>
      <c r="AC637" s="117"/>
      <c r="AD637" s="118"/>
    </row>
    <row r="638" ht="15.75" customHeight="1">
      <c r="M638" s="113"/>
      <c r="N638" s="113"/>
      <c r="AC638" s="117"/>
      <c r="AD638" s="118"/>
    </row>
    <row r="639" ht="15.75" customHeight="1">
      <c r="M639" s="113"/>
      <c r="N639" s="113"/>
      <c r="AC639" s="117"/>
      <c r="AD639" s="118"/>
    </row>
    <row r="640" ht="15.75" customHeight="1">
      <c r="M640" s="113"/>
      <c r="N640" s="113"/>
      <c r="AC640" s="117"/>
      <c r="AD640" s="118"/>
    </row>
    <row r="641" ht="15.75" customHeight="1">
      <c r="M641" s="113"/>
      <c r="N641" s="113"/>
      <c r="AC641" s="117"/>
      <c r="AD641" s="118"/>
    </row>
    <row r="642" ht="15.75" customHeight="1">
      <c r="M642" s="113"/>
      <c r="N642" s="113"/>
      <c r="AC642" s="117"/>
      <c r="AD642" s="118"/>
    </row>
    <row r="643" ht="15.75" customHeight="1">
      <c r="M643" s="113"/>
      <c r="N643" s="113"/>
      <c r="AC643" s="117"/>
      <c r="AD643" s="118"/>
    </row>
    <row r="644" ht="15.75" customHeight="1">
      <c r="M644" s="113"/>
      <c r="N644" s="113"/>
      <c r="AC644" s="117"/>
      <c r="AD644" s="118"/>
    </row>
    <row r="645" ht="15.75" customHeight="1">
      <c r="M645" s="113"/>
      <c r="N645" s="113"/>
      <c r="AC645" s="117"/>
      <c r="AD645" s="118"/>
    </row>
    <row r="646" ht="15.75" customHeight="1">
      <c r="M646" s="113"/>
      <c r="N646" s="113"/>
      <c r="AC646" s="117"/>
      <c r="AD646" s="118"/>
    </row>
    <row r="647" ht="15.75" customHeight="1">
      <c r="M647" s="113"/>
      <c r="N647" s="113"/>
      <c r="AC647" s="117"/>
      <c r="AD647" s="118"/>
    </row>
    <row r="648" ht="15.75" customHeight="1">
      <c r="M648" s="113"/>
      <c r="N648" s="113"/>
      <c r="AC648" s="117"/>
      <c r="AD648" s="118"/>
    </row>
    <row r="649" ht="15.75" customHeight="1">
      <c r="M649" s="113"/>
      <c r="N649" s="113"/>
      <c r="AC649" s="117"/>
      <c r="AD649" s="118"/>
    </row>
    <row r="650" ht="15.75" customHeight="1">
      <c r="M650" s="113"/>
      <c r="N650" s="113"/>
      <c r="AC650" s="117"/>
      <c r="AD650" s="118"/>
    </row>
    <row r="651" ht="15.75" customHeight="1">
      <c r="M651" s="113"/>
      <c r="N651" s="113"/>
      <c r="AC651" s="117"/>
      <c r="AD651" s="118"/>
    </row>
    <row r="652" ht="15.75" customHeight="1">
      <c r="M652" s="113"/>
      <c r="N652" s="113"/>
      <c r="AC652" s="117"/>
      <c r="AD652" s="118"/>
    </row>
    <row r="653" ht="15.75" customHeight="1">
      <c r="M653" s="113"/>
      <c r="N653" s="113"/>
      <c r="AC653" s="117"/>
      <c r="AD653" s="118"/>
    </row>
    <row r="654" ht="15.75" customHeight="1">
      <c r="M654" s="113"/>
      <c r="N654" s="113"/>
      <c r="AC654" s="117"/>
      <c r="AD654" s="118"/>
    </row>
    <row r="655" ht="15.75" customHeight="1">
      <c r="M655" s="113"/>
      <c r="N655" s="113"/>
      <c r="AC655" s="117"/>
      <c r="AD655" s="118"/>
    </row>
    <row r="656" ht="15.75" customHeight="1">
      <c r="M656" s="113"/>
      <c r="N656" s="113"/>
      <c r="AC656" s="117"/>
      <c r="AD656" s="118"/>
    </row>
    <row r="657" ht="15.75" customHeight="1">
      <c r="M657" s="113"/>
      <c r="N657" s="113"/>
      <c r="AC657" s="117"/>
      <c r="AD657" s="118"/>
    </row>
    <row r="658" ht="15.75" customHeight="1">
      <c r="M658" s="113"/>
      <c r="N658" s="113"/>
      <c r="AC658" s="117"/>
      <c r="AD658" s="118"/>
    </row>
    <row r="659" ht="15.75" customHeight="1">
      <c r="M659" s="113"/>
      <c r="N659" s="113"/>
      <c r="AC659" s="117"/>
      <c r="AD659" s="118"/>
    </row>
    <row r="660" ht="15.75" customHeight="1">
      <c r="M660" s="113"/>
      <c r="N660" s="113"/>
      <c r="AC660" s="117"/>
      <c r="AD660" s="118"/>
    </row>
    <row r="661" ht="15.75" customHeight="1">
      <c r="M661" s="113"/>
      <c r="N661" s="113"/>
      <c r="AC661" s="117"/>
      <c r="AD661" s="118"/>
    </row>
    <row r="662" ht="15.75" customHeight="1">
      <c r="M662" s="113"/>
      <c r="N662" s="113"/>
      <c r="AC662" s="117"/>
      <c r="AD662" s="118"/>
    </row>
    <row r="663" ht="15.75" customHeight="1">
      <c r="M663" s="113"/>
      <c r="N663" s="113"/>
      <c r="AC663" s="117"/>
      <c r="AD663" s="118"/>
    </row>
    <row r="664" ht="15.75" customHeight="1">
      <c r="M664" s="113"/>
      <c r="N664" s="113"/>
      <c r="AC664" s="117"/>
      <c r="AD664" s="118"/>
    </row>
    <row r="665" ht="15.75" customHeight="1">
      <c r="M665" s="113"/>
      <c r="N665" s="113"/>
      <c r="AC665" s="117"/>
      <c r="AD665" s="118"/>
    </row>
    <row r="666" ht="15.75" customHeight="1">
      <c r="M666" s="113"/>
      <c r="N666" s="113"/>
      <c r="AC666" s="117"/>
      <c r="AD666" s="118"/>
    </row>
    <row r="667" ht="15.75" customHeight="1">
      <c r="M667" s="113"/>
      <c r="N667" s="113"/>
      <c r="AC667" s="117"/>
      <c r="AD667" s="118"/>
    </row>
    <row r="668" ht="15.75" customHeight="1">
      <c r="M668" s="113"/>
      <c r="N668" s="113"/>
      <c r="AC668" s="117"/>
      <c r="AD668" s="118"/>
    </row>
    <row r="669" ht="15.75" customHeight="1">
      <c r="M669" s="113"/>
      <c r="N669" s="113"/>
      <c r="AC669" s="117"/>
      <c r="AD669" s="118"/>
    </row>
    <row r="670" ht="15.75" customHeight="1">
      <c r="M670" s="113"/>
      <c r="N670" s="113"/>
      <c r="AC670" s="117"/>
      <c r="AD670" s="118"/>
    </row>
    <row r="671" ht="15.75" customHeight="1">
      <c r="M671" s="113"/>
      <c r="N671" s="113"/>
      <c r="AC671" s="117"/>
      <c r="AD671" s="118"/>
    </row>
    <row r="672" ht="15.75" customHeight="1">
      <c r="M672" s="113"/>
      <c r="N672" s="113"/>
      <c r="AC672" s="117"/>
      <c r="AD672" s="118"/>
    </row>
    <row r="673" ht="15.75" customHeight="1">
      <c r="M673" s="113"/>
      <c r="N673" s="113"/>
      <c r="AC673" s="117"/>
      <c r="AD673" s="118"/>
    </row>
    <row r="674" ht="15.75" customHeight="1">
      <c r="M674" s="113"/>
      <c r="N674" s="113"/>
      <c r="AC674" s="117"/>
      <c r="AD674" s="118"/>
    </row>
    <row r="675" ht="15.75" customHeight="1">
      <c r="M675" s="113"/>
      <c r="N675" s="113"/>
      <c r="AC675" s="117"/>
      <c r="AD675" s="118"/>
    </row>
    <row r="676" ht="15.75" customHeight="1">
      <c r="M676" s="113"/>
      <c r="N676" s="113"/>
      <c r="AC676" s="117"/>
      <c r="AD676" s="118"/>
    </row>
    <row r="677" ht="15.75" customHeight="1">
      <c r="M677" s="113"/>
      <c r="N677" s="113"/>
      <c r="AC677" s="117"/>
      <c r="AD677" s="118"/>
    </row>
    <row r="678" ht="15.75" customHeight="1">
      <c r="M678" s="113"/>
      <c r="N678" s="113"/>
      <c r="AC678" s="117"/>
      <c r="AD678" s="118"/>
    </row>
    <row r="679" ht="15.75" customHeight="1">
      <c r="M679" s="113"/>
      <c r="N679" s="113"/>
      <c r="AC679" s="117"/>
      <c r="AD679" s="118"/>
    </row>
    <row r="680" ht="15.75" customHeight="1">
      <c r="M680" s="113"/>
      <c r="N680" s="113"/>
      <c r="AC680" s="117"/>
      <c r="AD680" s="118"/>
    </row>
    <row r="681" ht="15.75" customHeight="1">
      <c r="M681" s="113"/>
      <c r="N681" s="113"/>
      <c r="AC681" s="117"/>
      <c r="AD681" s="118"/>
    </row>
    <row r="682" ht="15.75" customHeight="1">
      <c r="M682" s="113"/>
      <c r="N682" s="113"/>
      <c r="AC682" s="117"/>
      <c r="AD682" s="118"/>
    </row>
    <row r="683" ht="15.75" customHeight="1">
      <c r="M683" s="113"/>
      <c r="N683" s="113"/>
      <c r="AC683" s="117"/>
      <c r="AD683" s="118"/>
    </row>
    <row r="684" ht="15.75" customHeight="1">
      <c r="M684" s="113"/>
      <c r="N684" s="113"/>
      <c r="AC684" s="117"/>
      <c r="AD684" s="118"/>
    </row>
    <row r="685" ht="15.75" customHeight="1">
      <c r="M685" s="113"/>
      <c r="N685" s="113"/>
      <c r="AC685" s="117"/>
      <c r="AD685" s="118"/>
    </row>
    <row r="686" ht="15.75" customHeight="1">
      <c r="M686" s="113"/>
      <c r="N686" s="113"/>
      <c r="AC686" s="117"/>
      <c r="AD686" s="118"/>
    </row>
    <row r="687" ht="15.75" customHeight="1">
      <c r="M687" s="113"/>
      <c r="N687" s="113"/>
      <c r="AC687" s="117"/>
      <c r="AD687" s="118"/>
    </row>
    <row r="688" ht="15.75" customHeight="1">
      <c r="M688" s="113"/>
      <c r="N688" s="113"/>
      <c r="AC688" s="117"/>
      <c r="AD688" s="118"/>
    </row>
    <row r="689" ht="15.75" customHeight="1">
      <c r="M689" s="113"/>
      <c r="N689" s="113"/>
      <c r="AC689" s="117"/>
      <c r="AD689" s="118"/>
    </row>
    <row r="690" ht="15.75" customHeight="1">
      <c r="M690" s="113"/>
      <c r="N690" s="113"/>
      <c r="AC690" s="117"/>
      <c r="AD690" s="118"/>
    </row>
    <row r="691" ht="15.75" customHeight="1">
      <c r="M691" s="113"/>
      <c r="N691" s="113"/>
      <c r="AC691" s="117"/>
      <c r="AD691" s="118"/>
    </row>
    <row r="692" ht="15.75" customHeight="1">
      <c r="M692" s="113"/>
      <c r="N692" s="113"/>
      <c r="AC692" s="117"/>
      <c r="AD692" s="118"/>
    </row>
    <row r="693" ht="15.75" customHeight="1">
      <c r="M693" s="113"/>
      <c r="N693" s="113"/>
      <c r="AC693" s="117"/>
      <c r="AD693" s="118"/>
    </row>
    <row r="694" ht="15.75" customHeight="1">
      <c r="M694" s="113"/>
      <c r="N694" s="113"/>
      <c r="AC694" s="117"/>
      <c r="AD694" s="118"/>
    </row>
    <row r="695" ht="15.75" customHeight="1">
      <c r="M695" s="113"/>
      <c r="N695" s="113"/>
      <c r="AC695" s="117"/>
      <c r="AD695" s="118"/>
    </row>
    <row r="696" ht="15.75" customHeight="1">
      <c r="M696" s="113"/>
      <c r="N696" s="113"/>
      <c r="AC696" s="117"/>
      <c r="AD696" s="118"/>
    </row>
    <row r="697" ht="15.75" customHeight="1">
      <c r="M697" s="113"/>
      <c r="N697" s="113"/>
      <c r="AC697" s="117"/>
      <c r="AD697" s="118"/>
    </row>
    <row r="698" ht="15.75" customHeight="1">
      <c r="M698" s="113"/>
      <c r="N698" s="113"/>
      <c r="AC698" s="117"/>
      <c r="AD698" s="118"/>
    </row>
    <row r="699" ht="15.75" customHeight="1">
      <c r="M699" s="113"/>
      <c r="N699" s="113"/>
      <c r="AC699" s="117"/>
      <c r="AD699" s="118"/>
    </row>
    <row r="700" ht="15.75" customHeight="1">
      <c r="M700" s="113"/>
      <c r="N700" s="113"/>
      <c r="AC700" s="117"/>
      <c r="AD700" s="118"/>
    </row>
    <row r="701" ht="15.75" customHeight="1">
      <c r="M701" s="113"/>
      <c r="N701" s="113"/>
      <c r="AC701" s="117"/>
      <c r="AD701" s="118"/>
    </row>
    <row r="702" ht="15.75" customHeight="1">
      <c r="M702" s="113"/>
      <c r="N702" s="113"/>
      <c r="AC702" s="117"/>
      <c r="AD702" s="118"/>
    </row>
    <row r="703" ht="15.75" customHeight="1">
      <c r="M703" s="113"/>
      <c r="N703" s="113"/>
      <c r="AC703" s="117"/>
      <c r="AD703" s="118"/>
    </row>
    <row r="704" ht="15.75" customHeight="1">
      <c r="M704" s="113"/>
      <c r="N704" s="113"/>
      <c r="AC704" s="117"/>
      <c r="AD704" s="118"/>
    </row>
    <row r="705" ht="15.75" customHeight="1">
      <c r="M705" s="113"/>
      <c r="N705" s="113"/>
      <c r="AC705" s="117"/>
      <c r="AD705" s="118"/>
    </row>
    <row r="706" ht="15.75" customHeight="1">
      <c r="M706" s="113"/>
      <c r="N706" s="113"/>
      <c r="AC706" s="117"/>
      <c r="AD706" s="118"/>
    </row>
    <row r="707" ht="15.75" customHeight="1">
      <c r="M707" s="113"/>
      <c r="N707" s="113"/>
      <c r="AC707" s="117"/>
      <c r="AD707" s="118"/>
    </row>
    <row r="708" ht="15.75" customHeight="1">
      <c r="M708" s="113"/>
      <c r="N708" s="113"/>
      <c r="AC708" s="117"/>
      <c r="AD708" s="118"/>
    </row>
    <row r="709" ht="15.75" customHeight="1">
      <c r="M709" s="113"/>
      <c r="N709" s="113"/>
      <c r="AC709" s="117"/>
      <c r="AD709" s="118"/>
    </row>
    <row r="710" ht="15.75" customHeight="1">
      <c r="M710" s="113"/>
      <c r="N710" s="113"/>
      <c r="AC710" s="117"/>
      <c r="AD710" s="118"/>
    </row>
    <row r="711" ht="15.75" customHeight="1">
      <c r="M711" s="113"/>
      <c r="N711" s="113"/>
      <c r="AC711" s="117"/>
      <c r="AD711" s="118"/>
    </row>
    <row r="712" ht="15.75" customHeight="1">
      <c r="M712" s="113"/>
      <c r="N712" s="113"/>
      <c r="AC712" s="117"/>
      <c r="AD712" s="118"/>
    </row>
    <row r="713" ht="15.75" customHeight="1">
      <c r="M713" s="113"/>
      <c r="N713" s="113"/>
      <c r="AC713" s="117"/>
      <c r="AD713" s="118"/>
    </row>
    <row r="714" ht="15.75" customHeight="1">
      <c r="M714" s="113"/>
      <c r="N714" s="113"/>
      <c r="AC714" s="117"/>
      <c r="AD714" s="118"/>
    </row>
    <row r="715" ht="15.75" customHeight="1">
      <c r="M715" s="113"/>
      <c r="N715" s="113"/>
      <c r="AC715" s="117"/>
      <c r="AD715" s="118"/>
    </row>
    <row r="716" ht="15.75" customHeight="1">
      <c r="M716" s="113"/>
      <c r="N716" s="113"/>
      <c r="AC716" s="117"/>
      <c r="AD716" s="118"/>
    </row>
    <row r="717" ht="15.75" customHeight="1">
      <c r="M717" s="113"/>
      <c r="N717" s="113"/>
      <c r="AC717" s="117"/>
      <c r="AD717" s="118"/>
    </row>
    <row r="718" ht="15.75" customHeight="1">
      <c r="M718" s="113"/>
      <c r="N718" s="113"/>
      <c r="AC718" s="117"/>
      <c r="AD718" s="118"/>
    </row>
    <row r="719" ht="15.75" customHeight="1">
      <c r="M719" s="113"/>
      <c r="N719" s="113"/>
      <c r="AC719" s="117"/>
      <c r="AD719" s="118"/>
    </row>
    <row r="720" ht="15.75" customHeight="1">
      <c r="M720" s="113"/>
      <c r="N720" s="113"/>
      <c r="AC720" s="117"/>
      <c r="AD720" s="118"/>
    </row>
    <row r="721" ht="15.75" customHeight="1">
      <c r="M721" s="113"/>
      <c r="N721" s="113"/>
      <c r="AC721" s="117"/>
      <c r="AD721" s="118"/>
    </row>
    <row r="722" ht="15.75" customHeight="1">
      <c r="M722" s="113"/>
      <c r="N722" s="113"/>
      <c r="AC722" s="117"/>
      <c r="AD722" s="118"/>
    </row>
    <row r="723" ht="15.75" customHeight="1">
      <c r="M723" s="113"/>
      <c r="N723" s="113"/>
      <c r="AC723" s="117"/>
      <c r="AD723" s="118"/>
    </row>
    <row r="724" ht="15.75" customHeight="1">
      <c r="M724" s="113"/>
      <c r="N724" s="113"/>
      <c r="AC724" s="117"/>
      <c r="AD724" s="118"/>
    </row>
    <row r="725" ht="15.75" customHeight="1">
      <c r="M725" s="113"/>
      <c r="N725" s="113"/>
      <c r="AC725" s="117"/>
      <c r="AD725" s="118"/>
    </row>
    <row r="726" ht="15.75" customHeight="1">
      <c r="M726" s="113"/>
      <c r="N726" s="113"/>
      <c r="AC726" s="117"/>
      <c r="AD726" s="118"/>
    </row>
    <row r="727" ht="15.75" customHeight="1">
      <c r="M727" s="113"/>
      <c r="N727" s="113"/>
      <c r="AC727" s="117"/>
      <c r="AD727" s="118"/>
    </row>
    <row r="728" ht="15.75" customHeight="1">
      <c r="M728" s="113"/>
      <c r="N728" s="113"/>
      <c r="AC728" s="117"/>
      <c r="AD728" s="118"/>
    </row>
    <row r="729" ht="15.75" customHeight="1">
      <c r="M729" s="113"/>
      <c r="N729" s="113"/>
      <c r="AC729" s="117"/>
      <c r="AD729" s="118"/>
    </row>
    <row r="730" ht="15.75" customHeight="1">
      <c r="M730" s="113"/>
      <c r="N730" s="113"/>
      <c r="AC730" s="117"/>
      <c r="AD730" s="118"/>
    </row>
    <row r="731" ht="15.75" customHeight="1">
      <c r="M731" s="113"/>
      <c r="N731" s="113"/>
      <c r="AC731" s="117"/>
      <c r="AD731" s="118"/>
    </row>
    <row r="732" ht="15.75" customHeight="1">
      <c r="M732" s="113"/>
      <c r="N732" s="113"/>
      <c r="AC732" s="117"/>
      <c r="AD732" s="118"/>
    </row>
    <row r="733" ht="15.75" customHeight="1">
      <c r="M733" s="113"/>
      <c r="N733" s="113"/>
      <c r="AC733" s="117"/>
      <c r="AD733" s="118"/>
    </row>
    <row r="734" ht="15.75" customHeight="1">
      <c r="M734" s="113"/>
      <c r="N734" s="113"/>
      <c r="AC734" s="117"/>
      <c r="AD734" s="118"/>
    </row>
    <row r="735" ht="15.75" customHeight="1">
      <c r="M735" s="113"/>
      <c r="N735" s="113"/>
      <c r="AC735" s="117"/>
      <c r="AD735" s="118"/>
    </row>
    <row r="736" ht="15.75" customHeight="1">
      <c r="M736" s="113"/>
      <c r="N736" s="113"/>
      <c r="AC736" s="117"/>
      <c r="AD736" s="118"/>
    </row>
    <row r="737" ht="15.75" customHeight="1">
      <c r="M737" s="113"/>
      <c r="N737" s="113"/>
      <c r="AC737" s="117"/>
      <c r="AD737" s="118"/>
    </row>
    <row r="738" ht="15.75" customHeight="1">
      <c r="M738" s="113"/>
      <c r="N738" s="113"/>
      <c r="AC738" s="117"/>
      <c r="AD738" s="118"/>
    </row>
    <row r="739" ht="15.75" customHeight="1">
      <c r="M739" s="113"/>
      <c r="N739" s="113"/>
      <c r="AC739" s="117"/>
      <c r="AD739" s="118"/>
    </row>
    <row r="740" ht="15.75" customHeight="1">
      <c r="M740" s="113"/>
      <c r="N740" s="113"/>
      <c r="AC740" s="117"/>
      <c r="AD740" s="118"/>
    </row>
    <row r="741" ht="15.75" customHeight="1">
      <c r="M741" s="113"/>
      <c r="N741" s="113"/>
      <c r="AC741" s="117"/>
      <c r="AD741" s="118"/>
    </row>
    <row r="742" ht="15.75" customHeight="1">
      <c r="M742" s="113"/>
      <c r="N742" s="113"/>
      <c r="AC742" s="117"/>
      <c r="AD742" s="118"/>
    </row>
    <row r="743" ht="15.75" customHeight="1">
      <c r="M743" s="113"/>
      <c r="N743" s="113"/>
      <c r="AC743" s="117"/>
      <c r="AD743" s="118"/>
    </row>
    <row r="744" ht="15.75" customHeight="1">
      <c r="M744" s="113"/>
      <c r="N744" s="113"/>
      <c r="AC744" s="117"/>
      <c r="AD744" s="118"/>
    </row>
    <row r="745" ht="15.75" customHeight="1">
      <c r="M745" s="113"/>
      <c r="N745" s="113"/>
      <c r="AC745" s="117"/>
      <c r="AD745" s="118"/>
    </row>
    <row r="746" ht="15.75" customHeight="1">
      <c r="M746" s="113"/>
      <c r="N746" s="113"/>
      <c r="AC746" s="117"/>
      <c r="AD746" s="118"/>
    </row>
    <row r="747" ht="15.75" customHeight="1">
      <c r="M747" s="113"/>
      <c r="N747" s="113"/>
      <c r="AC747" s="117"/>
      <c r="AD747" s="118"/>
    </row>
    <row r="748" ht="15.75" customHeight="1">
      <c r="M748" s="113"/>
      <c r="N748" s="113"/>
      <c r="AC748" s="117"/>
      <c r="AD748" s="118"/>
    </row>
    <row r="749" ht="15.75" customHeight="1">
      <c r="M749" s="113"/>
      <c r="N749" s="113"/>
      <c r="AC749" s="117"/>
      <c r="AD749" s="118"/>
    </row>
    <row r="750" ht="15.75" customHeight="1">
      <c r="M750" s="113"/>
      <c r="N750" s="113"/>
      <c r="AC750" s="117"/>
      <c r="AD750" s="118"/>
    </row>
    <row r="751" ht="15.75" customHeight="1">
      <c r="M751" s="113"/>
      <c r="N751" s="113"/>
      <c r="AC751" s="117"/>
      <c r="AD751" s="118"/>
    </row>
    <row r="752" ht="15.75" customHeight="1">
      <c r="M752" s="113"/>
      <c r="N752" s="113"/>
      <c r="AC752" s="117"/>
      <c r="AD752" s="118"/>
    </row>
    <row r="753" ht="15.75" customHeight="1">
      <c r="M753" s="113"/>
      <c r="N753" s="113"/>
      <c r="AC753" s="117"/>
      <c r="AD753" s="118"/>
    </row>
    <row r="754" ht="15.75" customHeight="1">
      <c r="M754" s="113"/>
      <c r="N754" s="113"/>
      <c r="AC754" s="117"/>
      <c r="AD754" s="118"/>
    </row>
    <row r="755" ht="15.75" customHeight="1">
      <c r="M755" s="113"/>
      <c r="N755" s="113"/>
      <c r="AC755" s="117"/>
      <c r="AD755" s="118"/>
    </row>
    <row r="756" ht="15.75" customHeight="1">
      <c r="M756" s="113"/>
      <c r="N756" s="113"/>
      <c r="AC756" s="117"/>
      <c r="AD756" s="118"/>
    </row>
    <row r="757" ht="15.75" customHeight="1">
      <c r="M757" s="113"/>
      <c r="N757" s="113"/>
      <c r="AC757" s="117"/>
      <c r="AD757" s="118"/>
    </row>
    <row r="758" ht="15.75" customHeight="1">
      <c r="M758" s="113"/>
      <c r="N758" s="113"/>
      <c r="AC758" s="117"/>
      <c r="AD758" s="118"/>
    </row>
    <row r="759" ht="15.75" customHeight="1">
      <c r="M759" s="113"/>
      <c r="N759" s="113"/>
      <c r="AC759" s="117"/>
      <c r="AD759" s="118"/>
    </row>
    <row r="760" ht="15.75" customHeight="1">
      <c r="M760" s="113"/>
      <c r="N760" s="113"/>
      <c r="AC760" s="117"/>
      <c r="AD760" s="118"/>
    </row>
    <row r="761" ht="15.75" customHeight="1">
      <c r="M761" s="113"/>
      <c r="N761" s="113"/>
      <c r="AC761" s="117"/>
      <c r="AD761" s="118"/>
    </row>
    <row r="762" ht="15.75" customHeight="1">
      <c r="M762" s="113"/>
      <c r="N762" s="113"/>
      <c r="AC762" s="117"/>
      <c r="AD762" s="118"/>
    </row>
    <row r="763" ht="15.75" customHeight="1">
      <c r="M763" s="113"/>
      <c r="N763" s="113"/>
      <c r="AC763" s="117"/>
      <c r="AD763" s="118"/>
    </row>
    <row r="764" ht="15.75" customHeight="1">
      <c r="M764" s="113"/>
      <c r="N764" s="113"/>
      <c r="AC764" s="117"/>
      <c r="AD764" s="118"/>
    </row>
    <row r="765" ht="15.75" customHeight="1">
      <c r="M765" s="113"/>
      <c r="N765" s="113"/>
      <c r="AC765" s="117"/>
      <c r="AD765" s="118"/>
    </row>
    <row r="766" ht="15.75" customHeight="1">
      <c r="M766" s="113"/>
      <c r="N766" s="113"/>
      <c r="AC766" s="117"/>
      <c r="AD766" s="118"/>
    </row>
    <row r="767" ht="15.75" customHeight="1">
      <c r="M767" s="113"/>
      <c r="N767" s="113"/>
      <c r="AC767" s="117"/>
      <c r="AD767" s="118"/>
    </row>
    <row r="768" ht="15.75" customHeight="1">
      <c r="M768" s="113"/>
      <c r="N768" s="113"/>
      <c r="AC768" s="117"/>
      <c r="AD768" s="118"/>
    </row>
    <row r="769" ht="15.75" customHeight="1">
      <c r="M769" s="113"/>
      <c r="N769" s="113"/>
      <c r="AC769" s="117"/>
      <c r="AD769" s="118"/>
    </row>
    <row r="770" ht="15.75" customHeight="1">
      <c r="M770" s="113"/>
      <c r="N770" s="113"/>
      <c r="AC770" s="117"/>
      <c r="AD770" s="118"/>
    </row>
    <row r="771" ht="15.75" customHeight="1">
      <c r="M771" s="113"/>
      <c r="N771" s="113"/>
      <c r="AC771" s="117"/>
      <c r="AD771" s="118"/>
    </row>
    <row r="772" ht="15.75" customHeight="1">
      <c r="M772" s="113"/>
      <c r="N772" s="113"/>
      <c r="AC772" s="117"/>
      <c r="AD772" s="118"/>
    </row>
    <row r="773" ht="15.75" customHeight="1">
      <c r="M773" s="113"/>
      <c r="N773" s="113"/>
      <c r="AC773" s="117"/>
      <c r="AD773" s="118"/>
    </row>
    <row r="774" ht="15.75" customHeight="1">
      <c r="M774" s="113"/>
      <c r="N774" s="113"/>
      <c r="AC774" s="117"/>
      <c r="AD774" s="118"/>
    </row>
    <row r="775" ht="15.75" customHeight="1">
      <c r="M775" s="113"/>
      <c r="N775" s="113"/>
      <c r="AC775" s="117"/>
      <c r="AD775" s="118"/>
    </row>
    <row r="776" ht="15.75" customHeight="1">
      <c r="M776" s="113"/>
      <c r="N776" s="113"/>
      <c r="AC776" s="117"/>
      <c r="AD776" s="118"/>
    </row>
    <row r="777" ht="15.75" customHeight="1">
      <c r="M777" s="113"/>
      <c r="N777" s="113"/>
      <c r="AC777" s="117"/>
      <c r="AD777" s="118"/>
    </row>
    <row r="778" ht="15.75" customHeight="1">
      <c r="M778" s="113"/>
      <c r="N778" s="113"/>
      <c r="AC778" s="117"/>
      <c r="AD778" s="118"/>
    </row>
    <row r="779" ht="15.75" customHeight="1">
      <c r="M779" s="113"/>
      <c r="N779" s="113"/>
      <c r="AC779" s="117"/>
      <c r="AD779" s="118"/>
    </row>
    <row r="780" ht="15.75" customHeight="1">
      <c r="M780" s="113"/>
      <c r="N780" s="113"/>
      <c r="AC780" s="117"/>
      <c r="AD780" s="118"/>
    </row>
    <row r="781" ht="15.75" customHeight="1">
      <c r="M781" s="113"/>
      <c r="N781" s="113"/>
      <c r="AC781" s="117"/>
      <c r="AD781" s="118"/>
    </row>
    <row r="782" ht="15.75" customHeight="1">
      <c r="M782" s="113"/>
      <c r="N782" s="113"/>
      <c r="AC782" s="117"/>
      <c r="AD782" s="118"/>
    </row>
    <row r="783" ht="15.75" customHeight="1">
      <c r="M783" s="113"/>
      <c r="N783" s="113"/>
      <c r="AC783" s="117"/>
      <c r="AD783" s="118"/>
    </row>
    <row r="784" ht="15.75" customHeight="1">
      <c r="M784" s="113"/>
      <c r="N784" s="113"/>
      <c r="AC784" s="117"/>
      <c r="AD784" s="118"/>
    </row>
    <row r="785" ht="15.75" customHeight="1">
      <c r="M785" s="113"/>
      <c r="N785" s="113"/>
      <c r="AC785" s="117"/>
      <c r="AD785" s="118"/>
    </row>
    <row r="786" ht="15.75" customHeight="1">
      <c r="M786" s="113"/>
      <c r="N786" s="113"/>
      <c r="AC786" s="117"/>
      <c r="AD786" s="118"/>
    </row>
    <row r="787" ht="15.75" customHeight="1">
      <c r="M787" s="113"/>
      <c r="N787" s="113"/>
      <c r="AC787" s="117"/>
      <c r="AD787" s="118"/>
    </row>
    <row r="788" ht="15.75" customHeight="1">
      <c r="M788" s="113"/>
      <c r="N788" s="113"/>
      <c r="AC788" s="117"/>
      <c r="AD788" s="118"/>
    </row>
    <row r="789" ht="15.75" customHeight="1">
      <c r="M789" s="113"/>
      <c r="N789" s="113"/>
      <c r="AC789" s="117"/>
      <c r="AD789" s="118"/>
    </row>
    <row r="790" ht="15.75" customHeight="1">
      <c r="M790" s="113"/>
      <c r="N790" s="113"/>
      <c r="AC790" s="117"/>
      <c r="AD790" s="118"/>
    </row>
    <row r="791" ht="15.75" customHeight="1">
      <c r="M791" s="113"/>
      <c r="N791" s="113"/>
      <c r="AC791" s="117"/>
      <c r="AD791" s="118"/>
    </row>
    <row r="792" ht="15.75" customHeight="1">
      <c r="M792" s="113"/>
      <c r="N792" s="113"/>
      <c r="AC792" s="117"/>
      <c r="AD792" s="118"/>
    </row>
    <row r="793" ht="15.75" customHeight="1">
      <c r="M793" s="113"/>
      <c r="N793" s="113"/>
      <c r="AC793" s="117"/>
      <c r="AD793" s="118"/>
    </row>
    <row r="794" ht="15.75" customHeight="1">
      <c r="M794" s="113"/>
      <c r="N794" s="113"/>
      <c r="AC794" s="117"/>
      <c r="AD794" s="118"/>
    </row>
    <row r="795" ht="15.75" customHeight="1">
      <c r="M795" s="113"/>
      <c r="N795" s="113"/>
      <c r="AC795" s="117"/>
      <c r="AD795" s="118"/>
    </row>
    <row r="796" ht="15.75" customHeight="1">
      <c r="M796" s="113"/>
      <c r="N796" s="113"/>
      <c r="AC796" s="117"/>
      <c r="AD796" s="118"/>
    </row>
    <row r="797" ht="15.75" customHeight="1">
      <c r="M797" s="113"/>
      <c r="N797" s="113"/>
      <c r="AC797" s="117"/>
      <c r="AD797" s="118"/>
    </row>
    <row r="798" ht="15.75" customHeight="1">
      <c r="M798" s="113"/>
      <c r="N798" s="113"/>
      <c r="AC798" s="117"/>
      <c r="AD798" s="118"/>
    </row>
    <row r="799" ht="15.75" customHeight="1">
      <c r="M799" s="113"/>
      <c r="N799" s="113"/>
      <c r="AC799" s="117"/>
      <c r="AD799" s="118"/>
    </row>
    <row r="800" ht="15.75" customHeight="1">
      <c r="M800" s="113"/>
      <c r="N800" s="113"/>
      <c r="AC800" s="117"/>
      <c r="AD800" s="118"/>
    </row>
    <row r="801" ht="15.75" customHeight="1">
      <c r="M801" s="113"/>
      <c r="N801" s="113"/>
      <c r="AC801" s="117"/>
      <c r="AD801" s="118"/>
    </row>
    <row r="802" ht="15.75" customHeight="1">
      <c r="M802" s="113"/>
      <c r="N802" s="113"/>
      <c r="AC802" s="117"/>
      <c r="AD802" s="118"/>
    </row>
    <row r="803" ht="15.75" customHeight="1">
      <c r="M803" s="113"/>
      <c r="N803" s="113"/>
      <c r="AC803" s="117"/>
      <c r="AD803" s="118"/>
    </row>
    <row r="804" ht="15.75" customHeight="1">
      <c r="M804" s="113"/>
      <c r="N804" s="113"/>
      <c r="AC804" s="117"/>
      <c r="AD804" s="118"/>
    </row>
    <row r="805" ht="15.75" customHeight="1">
      <c r="M805" s="113"/>
      <c r="N805" s="113"/>
      <c r="AC805" s="117"/>
      <c r="AD805" s="118"/>
    </row>
    <row r="806" ht="15.75" customHeight="1">
      <c r="M806" s="113"/>
      <c r="N806" s="113"/>
      <c r="AC806" s="117"/>
      <c r="AD806" s="118"/>
    </row>
    <row r="807" ht="15.75" customHeight="1">
      <c r="M807" s="113"/>
      <c r="N807" s="113"/>
      <c r="AC807" s="117"/>
      <c r="AD807" s="118"/>
    </row>
    <row r="808" ht="15.75" customHeight="1">
      <c r="M808" s="113"/>
      <c r="N808" s="113"/>
      <c r="AC808" s="117"/>
      <c r="AD808" s="118"/>
    </row>
    <row r="809" ht="15.75" customHeight="1">
      <c r="M809" s="113"/>
      <c r="N809" s="113"/>
      <c r="AC809" s="117"/>
      <c r="AD809" s="118"/>
    </row>
    <row r="810" ht="15.75" customHeight="1">
      <c r="M810" s="113"/>
      <c r="N810" s="113"/>
      <c r="AC810" s="117"/>
      <c r="AD810" s="118"/>
    </row>
    <row r="811" ht="15.75" customHeight="1">
      <c r="M811" s="113"/>
      <c r="N811" s="113"/>
      <c r="AC811" s="117"/>
      <c r="AD811" s="118"/>
    </row>
    <row r="812" ht="15.75" customHeight="1">
      <c r="M812" s="113"/>
      <c r="N812" s="113"/>
      <c r="AC812" s="117"/>
      <c r="AD812" s="118"/>
    </row>
    <row r="813" ht="15.75" customHeight="1">
      <c r="M813" s="113"/>
      <c r="N813" s="113"/>
      <c r="AC813" s="117"/>
      <c r="AD813" s="118"/>
    </row>
    <row r="814" ht="15.75" customHeight="1">
      <c r="M814" s="113"/>
      <c r="N814" s="113"/>
      <c r="AC814" s="117"/>
      <c r="AD814" s="118"/>
    </row>
    <row r="815" ht="15.75" customHeight="1">
      <c r="M815" s="113"/>
      <c r="N815" s="113"/>
      <c r="AC815" s="117"/>
      <c r="AD815" s="118"/>
    </row>
    <row r="816" ht="15.75" customHeight="1">
      <c r="M816" s="113"/>
      <c r="N816" s="113"/>
      <c r="AC816" s="117"/>
      <c r="AD816" s="118"/>
    </row>
    <row r="817" ht="15.75" customHeight="1">
      <c r="M817" s="113"/>
      <c r="N817" s="113"/>
      <c r="AC817" s="117"/>
      <c r="AD817" s="118"/>
    </row>
    <row r="818" ht="15.75" customHeight="1">
      <c r="M818" s="113"/>
      <c r="N818" s="113"/>
      <c r="AC818" s="117"/>
      <c r="AD818" s="118"/>
    </row>
    <row r="819" ht="15.75" customHeight="1">
      <c r="M819" s="113"/>
      <c r="N819" s="113"/>
      <c r="AC819" s="117"/>
      <c r="AD819" s="118"/>
    </row>
    <row r="820" ht="15.75" customHeight="1">
      <c r="M820" s="113"/>
      <c r="N820" s="113"/>
      <c r="AC820" s="117"/>
      <c r="AD820" s="118"/>
    </row>
    <row r="821" ht="15.75" customHeight="1">
      <c r="M821" s="113"/>
      <c r="N821" s="113"/>
      <c r="AC821" s="117"/>
      <c r="AD821" s="118"/>
    </row>
    <row r="822" ht="15.75" customHeight="1">
      <c r="M822" s="113"/>
      <c r="N822" s="113"/>
      <c r="AC822" s="117"/>
      <c r="AD822" s="118"/>
    </row>
    <row r="823" ht="15.75" customHeight="1">
      <c r="M823" s="113"/>
      <c r="N823" s="113"/>
      <c r="AC823" s="117"/>
      <c r="AD823" s="118"/>
    </row>
    <row r="824" ht="15.75" customHeight="1">
      <c r="M824" s="113"/>
      <c r="N824" s="113"/>
      <c r="AC824" s="117"/>
      <c r="AD824" s="118"/>
    </row>
    <row r="825" ht="15.75" customHeight="1">
      <c r="M825" s="113"/>
      <c r="N825" s="113"/>
      <c r="AC825" s="117"/>
      <c r="AD825" s="118"/>
    </row>
    <row r="826" ht="15.75" customHeight="1">
      <c r="M826" s="113"/>
      <c r="N826" s="113"/>
      <c r="AC826" s="117"/>
      <c r="AD826" s="118"/>
    </row>
    <row r="827" ht="15.75" customHeight="1">
      <c r="M827" s="113"/>
      <c r="N827" s="113"/>
      <c r="AC827" s="117"/>
      <c r="AD827" s="118"/>
    </row>
    <row r="828" ht="15.75" customHeight="1">
      <c r="M828" s="113"/>
      <c r="N828" s="113"/>
      <c r="AC828" s="117"/>
      <c r="AD828" s="118"/>
    </row>
    <row r="829" ht="15.75" customHeight="1">
      <c r="M829" s="113"/>
      <c r="N829" s="113"/>
      <c r="AC829" s="117"/>
      <c r="AD829" s="118"/>
    </row>
    <row r="830" ht="15.75" customHeight="1">
      <c r="M830" s="113"/>
      <c r="N830" s="113"/>
      <c r="AC830" s="117"/>
      <c r="AD830" s="118"/>
    </row>
    <row r="831" ht="15.75" customHeight="1">
      <c r="M831" s="113"/>
      <c r="N831" s="113"/>
      <c r="AC831" s="117"/>
      <c r="AD831" s="118"/>
    </row>
    <row r="832" ht="15.75" customHeight="1">
      <c r="M832" s="113"/>
      <c r="N832" s="113"/>
      <c r="AC832" s="117"/>
      <c r="AD832" s="118"/>
    </row>
    <row r="833" ht="15.75" customHeight="1">
      <c r="M833" s="113"/>
      <c r="N833" s="113"/>
      <c r="AC833" s="117"/>
      <c r="AD833" s="118"/>
    </row>
    <row r="834" ht="15.75" customHeight="1">
      <c r="M834" s="113"/>
      <c r="N834" s="113"/>
      <c r="AC834" s="117"/>
      <c r="AD834" s="118"/>
    </row>
    <row r="835" ht="15.75" customHeight="1">
      <c r="M835" s="113"/>
      <c r="N835" s="113"/>
      <c r="AC835" s="117"/>
      <c r="AD835" s="118"/>
    </row>
    <row r="836" ht="15.75" customHeight="1">
      <c r="M836" s="113"/>
      <c r="N836" s="113"/>
      <c r="AC836" s="117"/>
      <c r="AD836" s="118"/>
    </row>
    <row r="837" ht="15.75" customHeight="1">
      <c r="M837" s="113"/>
      <c r="N837" s="113"/>
      <c r="AC837" s="117"/>
      <c r="AD837" s="118"/>
    </row>
    <row r="838" ht="15.75" customHeight="1">
      <c r="M838" s="113"/>
      <c r="N838" s="113"/>
      <c r="AC838" s="117"/>
      <c r="AD838" s="118"/>
    </row>
    <row r="839" ht="15.75" customHeight="1">
      <c r="M839" s="113"/>
      <c r="N839" s="113"/>
      <c r="AC839" s="117"/>
      <c r="AD839" s="118"/>
    </row>
    <row r="840" ht="15.75" customHeight="1">
      <c r="M840" s="113"/>
      <c r="N840" s="113"/>
      <c r="AC840" s="117"/>
      <c r="AD840" s="118"/>
    </row>
    <row r="841" ht="15.75" customHeight="1">
      <c r="M841" s="113"/>
      <c r="N841" s="113"/>
      <c r="AC841" s="117"/>
      <c r="AD841" s="118"/>
    </row>
    <row r="842" ht="15.75" customHeight="1">
      <c r="M842" s="113"/>
      <c r="N842" s="113"/>
      <c r="AC842" s="117"/>
      <c r="AD842" s="118"/>
    </row>
    <row r="843" ht="15.75" customHeight="1">
      <c r="M843" s="113"/>
      <c r="N843" s="113"/>
      <c r="AC843" s="117"/>
      <c r="AD843" s="118"/>
    </row>
    <row r="844" ht="15.75" customHeight="1">
      <c r="M844" s="113"/>
      <c r="N844" s="113"/>
      <c r="AC844" s="117"/>
      <c r="AD844" s="118"/>
    </row>
    <row r="845" ht="15.75" customHeight="1">
      <c r="M845" s="113"/>
      <c r="N845" s="113"/>
      <c r="AC845" s="117"/>
      <c r="AD845" s="118"/>
    </row>
    <row r="846" ht="15.75" customHeight="1">
      <c r="M846" s="113"/>
      <c r="N846" s="113"/>
      <c r="AC846" s="117"/>
      <c r="AD846" s="118"/>
    </row>
    <row r="847" ht="15.75" customHeight="1">
      <c r="M847" s="113"/>
      <c r="N847" s="113"/>
      <c r="AC847" s="117"/>
      <c r="AD847" s="118"/>
    </row>
    <row r="848" ht="15.75" customHeight="1">
      <c r="M848" s="113"/>
      <c r="N848" s="113"/>
      <c r="AC848" s="117"/>
      <c r="AD848" s="118"/>
    </row>
    <row r="849" ht="15.75" customHeight="1">
      <c r="M849" s="113"/>
      <c r="N849" s="113"/>
      <c r="AC849" s="117"/>
      <c r="AD849" s="118"/>
    </row>
    <row r="850" ht="15.75" customHeight="1">
      <c r="M850" s="113"/>
      <c r="N850" s="113"/>
      <c r="AC850" s="117"/>
      <c r="AD850" s="118"/>
    </row>
    <row r="851" ht="15.75" customHeight="1">
      <c r="M851" s="113"/>
      <c r="N851" s="113"/>
      <c r="AC851" s="117"/>
      <c r="AD851" s="118"/>
    </row>
    <row r="852" ht="15.75" customHeight="1">
      <c r="M852" s="113"/>
      <c r="N852" s="113"/>
      <c r="AC852" s="117"/>
      <c r="AD852" s="118"/>
    </row>
    <row r="853" ht="15.75" customHeight="1">
      <c r="M853" s="113"/>
      <c r="N853" s="113"/>
      <c r="AC853" s="117"/>
      <c r="AD853" s="118"/>
    </row>
    <row r="854" ht="15.75" customHeight="1">
      <c r="M854" s="113"/>
      <c r="N854" s="113"/>
      <c r="AC854" s="117"/>
      <c r="AD854" s="118"/>
    </row>
    <row r="855" ht="15.75" customHeight="1">
      <c r="M855" s="113"/>
      <c r="N855" s="113"/>
      <c r="AC855" s="117"/>
      <c r="AD855" s="118"/>
    </row>
    <row r="856" ht="15.75" customHeight="1">
      <c r="M856" s="113"/>
      <c r="N856" s="113"/>
      <c r="AC856" s="117"/>
      <c r="AD856" s="118"/>
    </row>
    <row r="857" ht="15.75" customHeight="1">
      <c r="M857" s="113"/>
      <c r="N857" s="113"/>
      <c r="AC857" s="117"/>
      <c r="AD857" s="118"/>
    </row>
    <row r="858" ht="15.75" customHeight="1">
      <c r="M858" s="113"/>
      <c r="N858" s="113"/>
      <c r="AC858" s="117"/>
      <c r="AD858" s="118"/>
    </row>
    <row r="859" ht="15.75" customHeight="1">
      <c r="M859" s="113"/>
      <c r="N859" s="113"/>
      <c r="AC859" s="117"/>
      <c r="AD859" s="118"/>
    </row>
    <row r="860" ht="15.75" customHeight="1">
      <c r="M860" s="113"/>
      <c r="N860" s="113"/>
      <c r="AC860" s="117"/>
      <c r="AD860" s="118"/>
    </row>
    <row r="861" ht="15.75" customHeight="1">
      <c r="M861" s="113"/>
      <c r="N861" s="113"/>
      <c r="AC861" s="117"/>
      <c r="AD861" s="118"/>
    </row>
    <row r="862" ht="15.75" customHeight="1">
      <c r="M862" s="113"/>
      <c r="N862" s="113"/>
      <c r="AC862" s="117"/>
      <c r="AD862" s="118"/>
    </row>
    <row r="863" ht="15.75" customHeight="1">
      <c r="M863" s="113"/>
      <c r="N863" s="113"/>
      <c r="AC863" s="117"/>
      <c r="AD863" s="118"/>
    </row>
    <row r="864" ht="15.75" customHeight="1">
      <c r="M864" s="113"/>
      <c r="N864" s="113"/>
      <c r="AC864" s="117"/>
      <c r="AD864" s="118"/>
    </row>
    <row r="865" ht="15.75" customHeight="1">
      <c r="M865" s="113"/>
      <c r="N865" s="113"/>
      <c r="AC865" s="117"/>
      <c r="AD865" s="118"/>
    </row>
    <row r="866" ht="15.75" customHeight="1">
      <c r="M866" s="113"/>
      <c r="N866" s="113"/>
      <c r="AC866" s="117"/>
      <c r="AD866" s="118"/>
    </row>
    <row r="867" ht="15.75" customHeight="1">
      <c r="M867" s="113"/>
      <c r="N867" s="113"/>
      <c r="AC867" s="117"/>
      <c r="AD867" s="118"/>
    </row>
    <row r="868" ht="15.75" customHeight="1">
      <c r="M868" s="113"/>
      <c r="N868" s="113"/>
      <c r="AC868" s="117"/>
      <c r="AD868" s="118"/>
    </row>
    <row r="869" ht="15.75" customHeight="1">
      <c r="M869" s="113"/>
      <c r="N869" s="113"/>
      <c r="AC869" s="117"/>
      <c r="AD869" s="118"/>
    </row>
    <row r="870" ht="15.75" customHeight="1">
      <c r="M870" s="113"/>
      <c r="N870" s="113"/>
      <c r="AC870" s="117"/>
      <c r="AD870" s="118"/>
    </row>
    <row r="871" ht="15.75" customHeight="1">
      <c r="M871" s="113"/>
      <c r="N871" s="113"/>
      <c r="AC871" s="117"/>
      <c r="AD871" s="118"/>
    </row>
    <row r="872" ht="15.75" customHeight="1">
      <c r="M872" s="113"/>
      <c r="N872" s="113"/>
      <c r="AC872" s="117"/>
      <c r="AD872" s="118"/>
    </row>
    <row r="873" ht="15.75" customHeight="1">
      <c r="M873" s="113"/>
      <c r="N873" s="113"/>
      <c r="AC873" s="117"/>
      <c r="AD873" s="118"/>
    </row>
    <row r="874" ht="15.75" customHeight="1">
      <c r="M874" s="113"/>
      <c r="N874" s="113"/>
      <c r="AC874" s="117"/>
      <c r="AD874" s="118"/>
    </row>
    <row r="875" ht="15.75" customHeight="1">
      <c r="M875" s="113"/>
      <c r="N875" s="113"/>
      <c r="AC875" s="117"/>
      <c r="AD875" s="118"/>
    </row>
    <row r="876" ht="15.75" customHeight="1">
      <c r="M876" s="113"/>
      <c r="N876" s="113"/>
      <c r="AC876" s="117"/>
      <c r="AD876" s="118"/>
    </row>
    <row r="877" ht="15.75" customHeight="1">
      <c r="M877" s="113"/>
      <c r="N877" s="113"/>
      <c r="AC877" s="117"/>
      <c r="AD877" s="118"/>
    </row>
    <row r="878" ht="15.75" customHeight="1">
      <c r="M878" s="113"/>
      <c r="N878" s="113"/>
      <c r="AC878" s="117"/>
      <c r="AD878" s="118"/>
    </row>
    <row r="879" ht="15.75" customHeight="1">
      <c r="M879" s="113"/>
      <c r="N879" s="113"/>
      <c r="AC879" s="117"/>
      <c r="AD879" s="118"/>
    </row>
    <row r="880" ht="15.75" customHeight="1">
      <c r="M880" s="113"/>
      <c r="N880" s="113"/>
      <c r="AC880" s="117"/>
      <c r="AD880" s="118"/>
    </row>
    <row r="881" ht="15.75" customHeight="1">
      <c r="M881" s="113"/>
      <c r="N881" s="113"/>
      <c r="AC881" s="117"/>
      <c r="AD881" s="118"/>
    </row>
    <row r="882" ht="15.75" customHeight="1">
      <c r="M882" s="113"/>
      <c r="N882" s="113"/>
      <c r="AC882" s="117"/>
      <c r="AD882" s="118"/>
    </row>
    <row r="883" ht="15.75" customHeight="1">
      <c r="M883" s="113"/>
      <c r="N883" s="113"/>
      <c r="AC883" s="117"/>
      <c r="AD883" s="118"/>
    </row>
    <row r="884" ht="15.75" customHeight="1">
      <c r="M884" s="113"/>
      <c r="N884" s="113"/>
      <c r="AC884" s="117"/>
      <c r="AD884" s="118"/>
    </row>
    <row r="885" ht="15.75" customHeight="1">
      <c r="M885" s="113"/>
      <c r="N885" s="113"/>
      <c r="AC885" s="117"/>
      <c r="AD885" s="118"/>
    </row>
    <row r="886" ht="15.75" customHeight="1">
      <c r="M886" s="113"/>
      <c r="N886" s="113"/>
      <c r="AC886" s="117"/>
      <c r="AD886" s="118"/>
    </row>
    <row r="887" ht="15.75" customHeight="1">
      <c r="M887" s="113"/>
      <c r="N887" s="113"/>
      <c r="AC887" s="117"/>
      <c r="AD887" s="118"/>
    </row>
    <row r="888" ht="15.75" customHeight="1">
      <c r="M888" s="113"/>
      <c r="N888" s="113"/>
      <c r="AC888" s="117"/>
      <c r="AD888" s="118"/>
    </row>
    <row r="889" ht="15.75" customHeight="1">
      <c r="M889" s="113"/>
      <c r="N889" s="113"/>
      <c r="AC889" s="117"/>
      <c r="AD889" s="118"/>
    </row>
    <row r="890" ht="15.75" customHeight="1">
      <c r="M890" s="113"/>
      <c r="N890" s="113"/>
      <c r="AC890" s="117"/>
      <c r="AD890" s="118"/>
    </row>
    <row r="891" ht="15.75" customHeight="1">
      <c r="M891" s="113"/>
      <c r="N891" s="113"/>
      <c r="AC891" s="117"/>
      <c r="AD891" s="118"/>
    </row>
    <row r="892" ht="15.75" customHeight="1">
      <c r="M892" s="113"/>
      <c r="N892" s="113"/>
      <c r="AC892" s="117"/>
      <c r="AD892" s="118"/>
    </row>
    <row r="893" ht="15.75" customHeight="1">
      <c r="M893" s="113"/>
      <c r="N893" s="113"/>
      <c r="AC893" s="117"/>
      <c r="AD893" s="118"/>
    </row>
    <row r="894" ht="15.75" customHeight="1">
      <c r="M894" s="113"/>
      <c r="N894" s="113"/>
      <c r="AC894" s="117"/>
      <c r="AD894" s="118"/>
    </row>
    <row r="895" ht="15.75" customHeight="1">
      <c r="M895" s="113"/>
      <c r="N895" s="113"/>
      <c r="AC895" s="117"/>
      <c r="AD895" s="118"/>
    </row>
    <row r="896" ht="15.75" customHeight="1">
      <c r="M896" s="113"/>
      <c r="N896" s="113"/>
      <c r="AC896" s="117"/>
      <c r="AD896" s="118"/>
    </row>
    <row r="897" ht="15.75" customHeight="1">
      <c r="M897" s="113"/>
      <c r="N897" s="113"/>
      <c r="AC897" s="117"/>
      <c r="AD897" s="118"/>
    </row>
    <row r="898" ht="15.75" customHeight="1">
      <c r="M898" s="113"/>
      <c r="N898" s="113"/>
      <c r="AC898" s="117"/>
      <c r="AD898" s="118"/>
    </row>
    <row r="899" ht="15.75" customHeight="1">
      <c r="M899" s="113"/>
      <c r="N899" s="113"/>
      <c r="AC899" s="117"/>
      <c r="AD899" s="118"/>
    </row>
    <row r="900" ht="15.75" customHeight="1">
      <c r="M900" s="113"/>
      <c r="N900" s="113"/>
      <c r="AC900" s="117"/>
      <c r="AD900" s="118"/>
    </row>
    <row r="901" ht="15.75" customHeight="1">
      <c r="M901" s="113"/>
      <c r="N901" s="113"/>
      <c r="AC901" s="117"/>
      <c r="AD901" s="118"/>
    </row>
    <row r="902" ht="15.75" customHeight="1">
      <c r="M902" s="113"/>
      <c r="N902" s="113"/>
      <c r="AC902" s="117"/>
      <c r="AD902" s="118"/>
    </row>
    <row r="903" ht="15.75" customHeight="1">
      <c r="M903" s="113"/>
      <c r="N903" s="113"/>
      <c r="AC903" s="117"/>
      <c r="AD903" s="118"/>
    </row>
    <row r="904" ht="15.75" customHeight="1">
      <c r="M904" s="113"/>
      <c r="N904" s="113"/>
      <c r="AC904" s="117"/>
      <c r="AD904" s="118"/>
    </row>
    <row r="905" ht="15.75" customHeight="1">
      <c r="M905" s="113"/>
      <c r="N905" s="113"/>
      <c r="AC905" s="117"/>
      <c r="AD905" s="118"/>
    </row>
    <row r="906" ht="15.75" customHeight="1">
      <c r="M906" s="113"/>
      <c r="N906" s="113"/>
      <c r="AC906" s="117"/>
      <c r="AD906" s="118"/>
    </row>
    <row r="907" ht="15.75" customHeight="1">
      <c r="M907" s="113"/>
      <c r="N907" s="113"/>
      <c r="AC907" s="117"/>
      <c r="AD907" s="118"/>
    </row>
    <row r="908" ht="15.75" customHeight="1">
      <c r="M908" s="113"/>
      <c r="N908" s="113"/>
      <c r="AC908" s="117"/>
      <c r="AD908" s="118"/>
    </row>
    <row r="909" ht="15.75" customHeight="1">
      <c r="M909" s="113"/>
      <c r="N909" s="113"/>
      <c r="AC909" s="117"/>
      <c r="AD909" s="118"/>
    </row>
    <row r="910" ht="15.75" customHeight="1">
      <c r="M910" s="113"/>
      <c r="N910" s="113"/>
      <c r="AC910" s="117"/>
      <c r="AD910" s="118"/>
    </row>
    <row r="911" ht="15.75" customHeight="1">
      <c r="M911" s="113"/>
      <c r="N911" s="113"/>
      <c r="AC911" s="117"/>
      <c r="AD911" s="118"/>
    </row>
    <row r="912" ht="15.75" customHeight="1">
      <c r="M912" s="113"/>
      <c r="N912" s="113"/>
      <c r="AC912" s="117"/>
      <c r="AD912" s="118"/>
    </row>
    <row r="913" ht="15.75" customHeight="1">
      <c r="M913" s="113"/>
      <c r="N913" s="113"/>
      <c r="AC913" s="117"/>
      <c r="AD913" s="118"/>
    </row>
    <row r="914" ht="15.75" customHeight="1">
      <c r="M914" s="113"/>
      <c r="N914" s="113"/>
      <c r="AC914" s="117"/>
      <c r="AD914" s="118"/>
    </row>
    <row r="915" ht="15.75" customHeight="1">
      <c r="M915" s="113"/>
      <c r="N915" s="113"/>
      <c r="AC915" s="117"/>
      <c r="AD915" s="118"/>
    </row>
    <row r="916" ht="15.75" customHeight="1">
      <c r="M916" s="113"/>
      <c r="N916" s="113"/>
      <c r="AC916" s="117"/>
      <c r="AD916" s="118"/>
    </row>
    <row r="917" ht="15.75" customHeight="1">
      <c r="M917" s="113"/>
      <c r="N917" s="113"/>
      <c r="AC917" s="117"/>
      <c r="AD917" s="118"/>
    </row>
    <row r="918" ht="15.75" customHeight="1">
      <c r="M918" s="113"/>
      <c r="N918" s="113"/>
      <c r="AC918" s="117"/>
      <c r="AD918" s="118"/>
    </row>
    <row r="919" ht="15.75" customHeight="1">
      <c r="M919" s="113"/>
      <c r="N919" s="113"/>
      <c r="AC919" s="117"/>
      <c r="AD919" s="118"/>
    </row>
    <row r="920" ht="15.75" customHeight="1">
      <c r="M920" s="113"/>
      <c r="N920" s="113"/>
      <c r="AC920" s="117"/>
      <c r="AD920" s="118"/>
    </row>
    <row r="921" ht="15.75" customHeight="1">
      <c r="M921" s="113"/>
      <c r="N921" s="113"/>
      <c r="AC921" s="117"/>
      <c r="AD921" s="118"/>
    </row>
    <row r="922" ht="15.75" customHeight="1">
      <c r="M922" s="113"/>
      <c r="N922" s="113"/>
      <c r="AC922" s="117"/>
      <c r="AD922" s="118"/>
    </row>
    <row r="923" ht="15.75" customHeight="1">
      <c r="M923" s="113"/>
      <c r="N923" s="113"/>
      <c r="AC923" s="117"/>
      <c r="AD923" s="118"/>
    </row>
    <row r="924" ht="15.75" customHeight="1">
      <c r="M924" s="113"/>
      <c r="N924" s="113"/>
      <c r="AC924" s="117"/>
      <c r="AD924" s="118"/>
    </row>
    <row r="925" ht="15.75" customHeight="1">
      <c r="M925" s="113"/>
      <c r="N925" s="113"/>
      <c r="AC925" s="117"/>
      <c r="AD925" s="118"/>
    </row>
    <row r="926" ht="15.75" customHeight="1">
      <c r="M926" s="113"/>
      <c r="N926" s="113"/>
      <c r="AC926" s="117"/>
      <c r="AD926" s="118"/>
    </row>
    <row r="927" ht="15.75" customHeight="1">
      <c r="M927" s="113"/>
      <c r="N927" s="113"/>
      <c r="AC927" s="117"/>
      <c r="AD927" s="118"/>
    </row>
    <row r="928" ht="15.75" customHeight="1">
      <c r="M928" s="113"/>
      <c r="N928" s="113"/>
      <c r="AC928" s="117"/>
      <c r="AD928" s="118"/>
    </row>
    <row r="929" ht="15.75" customHeight="1">
      <c r="M929" s="113"/>
      <c r="N929" s="113"/>
      <c r="AC929" s="117"/>
      <c r="AD929" s="118"/>
    </row>
    <row r="930" ht="15.75" customHeight="1">
      <c r="M930" s="113"/>
      <c r="N930" s="113"/>
      <c r="AC930" s="117"/>
      <c r="AD930" s="118"/>
    </row>
    <row r="931" ht="15.75" customHeight="1">
      <c r="M931" s="113"/>
      <c r="N931" s="113"/>
      <c r="AC931" s="117"/>
      <c r="AD931" s="118"/>
    </row>
    <row r="932" ht="15.75" customHeight="1">
      <c r="M932" s="113"/>
      <c r="N932" s="113"/>
      <c r="AC932" s="117"/>
      <c r="AD932" s="118"/>
    </row>
    <row r="933" ht="15.75" customHeight="1">
      <c r="M933" s="113"/>
      <c r="N933" s="113"/>
      <c r="AC933" s="117"/>
      <c r="AD933" s="118"/>
    </row>
    <row r="934" ht="15.75" customHeight="1">
      <c r="M934" s="113"/>
      <c r="N934" s="113"/>
      <c r="AC934" s="117"/>
      <c r="AD934" s="118"/>
    </row>
    <row r="935" ht="15.75" customHeight="1">
      <c r="M935" s="113"/>
      <c r="N935" s="113"/>
      <c r="AC935" s="117"/>
      <c r="AD935" s="118"/>
    </row>
    <row r="936" ht="15.75" customHeight="1">
      <c r="M936" s="113"/>
      <c r="N936" s="113"/>
      <c r="AC936" s="117"/>
      <c r="AD936" s="118"/>
    </row>
    <row r="937" ht="15.75" customHeight="1">
      <c r="M937" s="113"/>
      <c r="N937" s="113"/>
      <c r="AC937" s="117"/>
      <c r="AD937" s="118"/>
    </row>
    <row r="938" ht="15.75" customHeight="1">
      <c r="M938" s="113"/>
      <c r="N938" s="113"/>
      <c r="AC938" s="117"/>
      <c r="AD938" s="118"/>
    </row>
    <row r="939" ht="15.75" customHeight="1">
      <c r="M939" s="113"/>
      <c r="N939" s="113"/>
      <c r="AC939" s="117"/>
      <c r="AD939" s="118"/>
    </row>
    <row r="940" ht="15.75" customHeight="1">
      <c r="M940" s="113"/>
      <c r="N940" s="113"/>
      <c r="AC940" s="117"/>
      <c r="AD940" s="118"/>
    </row>
    <row r="941" ht="15.75" customHeight="1">
      <c r="M941" s="113"/>
      <c r="N941" s="113"/>
      <c r="AC941" s="117"/>
      <c r="AD941" s="118"/>
    </row>
    <row r="942" ht="15.75" customHeight="1">
      <c r="M942" s="113"/>
      <c r="N942" s="113"/>
      <c r="AC942" s="117"/>
      <c r="AD942" s="118"/>
    </row>
    <row r="943" ht="15.75" customHeight="1">
      <c r="M943" s="113"/>
      <c r="N943" s="113"/>
      <c r="AC943" s="117"/>
      <c r="AD943" s="118"/>
    </row>
    <row r="944" ht="15.75" customHeight="1">
      <c r="M944" s="113"/>
      <c r="N944" s="113"/>
      <c r="AC944" s="117"/>
      <c r="AD944" s="118"/>
    </row>
    <row r="945" ht="15.75" customHeight="1">
      <c r="M945" s="113"/>
      <c r="N945" s="113"/>
      <c r="AC945" s="117"/>
      <c r="AD945" s="118"/>
    </row>
    <row r="946" ht="15.75" customHeight="1">
      <c r="M946" s="113"/>
      <c r="N946" s="113"/>
      <c r="AC946" s="117"/>
      <c r="AD946" s="118"/>
    </row>
    <row r="947" ht="15.75" customHeight="1">
      <c r="M947" s="113"/>
      <c r="N947" s="113"/>
      <c r="AC947" s="117"/>
      <c r="AD947" s="118"/>
    </row>
    <row r="948" ht="15.75" customHeight="1">
      <c r="M948" s="113"/>
      <c r="N948" s="113"/>
      <c r="AC948" s="117"/>
      <c r="AD948" s="118"/>
    </row>
    <row r="949" ht="15.75" customHeight="1">
      <c r="M949" s="113"/>
      <c r="N949" s="113"/>
      <c r="AC949" s="117"/>
      <c r="AD949" s="118"/>
    </row>
    <row r="950" ht="15.75" customHeight="1">
      <c r="M950" s="113"/>
      <c r="N950" s="113"/>
      <c r="AC950" s="117"/>
      <c r="AD950" s="118"/>
    </row>
    <row r="951" ht="15.75" customHeight="1">
      <c r="M951" s="113"/>
      <c r="N951" s="113"/>
      <c r="AC951" s="117"/>
      <c r="AD951" s="118"/>
    </row>
    <row r="952" ht="15.75" customHeight="1">
      <c r="M952" s="113"/>
      <c r="N952" s="113"/>
      <c r="AC952" s="117"/>
      <c r="AD952" s="118"/>
    </row>
    <row r="953" ht="15.75" customHeight="1">
      <c r="M953" s="113"/>
      <c r="N953" s="113"/>
      <c r="AC953" s="117"/>
      <c r="AD953" s="118"/>
    </row>
    <row r="954" ht="15.75" customHeight="1">
      <c r="M954" s="113"/>
      <c r="N954" s="113"/>
      <c r="AC954" s="117"/>
      <c r="AD954" s="118"/>
    </row>
    <row r="955" ht="15.75" customHeight="1">
      <c r="M955" s="113"/>
      <c r="N955" s="113"/>
      <c r="AC955" s="117"/>
      <c r="AD955" s="118"/>
    </row>
    <row r="956" ht="15.75" customHeight="1">
      <c r="M956" s="113"/>
      <c r="N956" s="113"/>
      <c r="AC956" s="117"/>
      <c r="AD956" s="118"/>
    </row>
    <row r="957" ht="15.75" customHeight="1">
      <c r="M957" s="113"/>
      <c r="N957" s="113"/>
      <c r="AC957" s="117"/>
      <c r="AD957" s="118"/>
    </row>
    <row r="958" ht="15.75" customHeight="1">
      <c r="M958" s="113"/>
      <c r="N958" s="113"/>
      <c r="AC958" s="117"/>
      <c r="AD958" s="118"/>
    </row>
    <row r="959" ht="15.75" customHeight="1">
      <c r="M959" s="113"/>
      <c r="N959" s="113"/>
      <c r="AC959" s="117"/>
      <c r="AD959" s="118"/>
    </row>
    <row r="960" ht="15.75" customHeight="1">
      <c r="M960" s="113"/>
      <c r="N960" s="113"/>
      <c r="AC960" s="117"/>
      <c r="AD960" s="118"/>
    </row>
    <row r="961" ht="15.75" customHeight="1">
      <c r="M961" s="113"/>
      <c r="N961" s="113"/>
      <c r="AC961" s="117"/>
      <c r="AD961" s="118"/>
    </row>
    <row r="962" ht="15.75" customHeight="1">
      <c r="M962" s="113"/>
      <c r="N962" s="113"/>
      <c r="AC962" s="117"/>
      <c r="AD962" s="118"/>
    </row>
    <row r="963" ht="15.75" customHeight="1">
      <c r="M963" s="113"/>
      <c r="N963" s="113"/>
      <c r="AC963" s="117"/>
      <c r="AD963" s="118"/>
    </row>
    <row r="964" ht="15.75" customHeight="1">
      <c r="M964" s="113"/>
      <c r="N964" s="113"/>
      <c r="AC964" s="117"/>
      <c r="AD964" s="118"/>
    </row>
    <row r="965" ht="15.75" customHeight="1">
      <c r="M965" s="113"/>
      <c r="N965" s="113"/>
      <c r="AC965" s="117"/>
      <c r="AD965" s="118"/>
    </row>
    <row r="966" ht="15.75" customHeight="1">
      <c r="M966" s="113"/>
      <c r="N966" s="113"/>
      <c r="AC966" s="117"/>
      <c r="AD966" s="118"/>
    </row>
    <row r="967" ht="15.75" customHeight="1">
      <c r="M967" s="113"/>
      <c r="N967" s="113"/>
      <c r="AC967" s="117"/>
      <c r="AD967" s="118"/>
    </row>
    <row r="968" ht="15.75" customHeight="1">
      <c r="M968" s="113"/>
      <c r="N968" s="113"/>
      <c r="AC968" s="117"/>
      <c r="AD968" s="118"/>
    </row>
    <row r="969" ht="15.75" customHeight="1">
      <c r="M969" s="113"/>
      <c r="N969" s="113"/>
      <c r="AC969" s="117"/>
      <c r="AD969" s="118"/>
    </row>
    <row r="970" ht="15.75" customHeight="1">
      <c r="M970" s="113"/>
      <c r="N970" s="113"/>
      <c r="AC970" s="117"/>
      <c r="AD970" s="118"/>
    </row>
    <row r="971" ht="15.75" customHeight="1">
      <c r="M971" s="113"/>
      <c r="N971" s="113"/>
      <c r="AC971" s="117"/>
      <c r="AD971" s="118"/>
    </row>
    <row r="972" ht="15.75" customHeight="1">
      <c r="M972" s="113"/>
      <c r="N972" s="113"/>
      <c r="AC972" s="117"/>
      <c r="AD972" s="118"/>
    </row>
    <row r="973" ht="15.75" customHeight="1">
      <c r="M973" s="113"/>
      <c r="N973" s="113"/>
      <c r="AC973" s="117"/>
      <c r="AD973" s="118"/>
    </row>
    <row r="974" ht="15.75" customHeight="1">
      <c r="M974" s="113"/>
      <c r="N974" s="113"/>
      <c r="AC974" s="117"/>
      <c r="AD974" s="118"/>
    </row>
    <row r="975" ht="15.75" customHeight="1">
      <c r="M975" s="113"/>
      <c r="N975" s="113"/>
      <c r="AC975" s="117"/>
      <c r="AD975" s="118"/>
    </row>
    <row r="976" ht="15.75" customHeight="1">
      <c r="M976" s="113"/>
      <c r="N976" s="113"/>
      <c r="AC976" s="117"/>
      <c r="AD976" s="118"/>
    </row>
    <row r="977" ht="15.75" customHeight="1">
      <c r="M977" s="113"/>
      <c r="N977" s="113"/>
      <c r="AC977" s="117"/>
      <c r="AD977" s="118"/>
    </row>
    <row r="978" ht="15.75" customHeight="1">
      <c r="M978" s="113"/>
      <c r="N978" s="113"/>
      <c r="AC978" s="117"/>
      <c r="AD978" s="118"/>
    </row>
    <row r="979" ht="15.75" customHeight="1">
      <c r="M979" s="113"/>
      <c r="N979" s="113"/>
      <c r="AC979" s="117"/>
      <c r="AD979" s="118"/>
    </row>
    <row r="980" ht="15.75" customHeight="1">
      <c r="M980" s="113"/>
      <c r="N980" s="113"/>
      <c r="AC980" s="117"/>
      <c r="AD980" s="118"/>
    </row>
    <row r="981" ht="15.75" customHeight="1">
      <c r="M981" s="113"/>
      <c r="N981" s="113"/>
      <c r="AC981" s="117"/>
      <c r="AD981" s="118"/>
    </row>
    <row r="982" ht="15.75" customHeight="1">
      <c r="M982" s="113"/>
      <c r="N982" s="113"/>
      <c r="AC982" s="117"/>
      <c r="AD982" s="118"/>
    </row>
    <row r="983" ht="15.75" customHeight="1">
      <c r="M983" s="113"/>
      <c r="N983" s="113"/>
      <c r="AC983" s="117"/>
      <c r="AD983" s="118"/>
    </row>
    <row r="984" ht="15.75" customHeight="1">
      <c r="M984" s="113"/>
      <c r="N984" s="113"/>
      <c r="AC984" s="117"/>
      <c r="AD984" s="118"/>
    </row>
    <row r="985" ht="15.75" customHeight="1">
      <c r="M985" s="113"/>
      <c r="N985" s="113"/>
      <c r="AC985" s="117"/>
      <c r="AD985" s="118"/>
    </row>
    <row r="986" ht="15.75" customHeight="1">
      <c r="M986" s="113"/>
      <c r="N986" s="113"/>
      <c r="AC986" s="117"/>
      <c r="AD986" s="118"/>
    </row>
    <row r="987" ht="15.75" customHeight="1">
      <c r="M987" s="113"/>
      <c r="N987" s="113"/>
      <c r="AC987" s="117"/>
      <c r="AD987" s="118"/>
    </row>
    <row r="988" ht="15.75" customHeight="1">
      <c r="M988" s="113"/>
      <c r="N988" s="113"/>
      <c r="AC988" s="117"/>
      <c r="AD988" s="118"/>
    </row>
    <row r="989" ht="15.75" customHeight="1">
      <c r="M989" s="113"/>
      <c r="N989" s="113"/>
      <c r="AC989" s="117"/>
      <c r="AD989" s="118"/>
    </row>
    <row r="990" ht="15.75" customHeight="1">
      <c r="M990" s="113"/>
      <c r="N990" s="113"/>
      <c r="AC990" s="117"/>
      <c r="AD990" s="118"/>
    </row>
    <row r="991" ht="15.75" customHeight="1">
      <c r="M991" s="113"/>
      <c r="N991" s="113"/>
      <c r="AC991" s="117"/>
      <c r="AD991" s="118"/>
    </row>
    <row r="992" ht="15.75" customHeight="1">
      <c r="M992" s="113"/>
      <c r="N992" s="113"/>
      <c r="AC992" s="117"/>
      <c r="AD992" s="118"/>
    </row>
    <row r="993" ht="15.75" customHeight="1">
      <c r="M993" s="113"/>
      <c r="N993" s="113"/>
      <c r="AC993" s="117"/>
      <c r="AD993" s="118"/>
    </row>
    <row r="994" ht="15.75" customHeight="1">
      <c r="M994" s="113"/>
      <c r="N994" s="113"/>
      <c r="AC994" s="117"/>
      <c r="AD994" s="118"/>
    </row>
    <row r="995" ht="15.75" customHeight="1">
      <c r="M995" s="113"/>
      <c r="N995" s="113"/>
      <c r="AC995" s="117"/>
      <c r="AD995" s="118"/>
    </row>
    <row r="996" ht="15.75" customHeight="1">
      <c r="M996" s="113"/>
      <c r="N996" s="113"/>
      <c r="AC996" s="117"/>
      <c r="AD996" s="118"/>
    </row>
    <row r="997" ht="15.75" customHeight="1">
      <c r="M997" s="113"/>
      <c r="N997" s="113"/>
      <c r="AC997" s="117"/>
      <c r="AD997" s="118"/>
    </row>
    <row r="998" ht="15.75" customHeight="1">
      <c r="M998" s="113"/>
      <c r="N998" s="113"/>
      <c r="AC998" s="117"/>
      <c r="AD998" s="123"/>
    </row>
  </sheetData>
  <mergeCells count="2">
    <mergeCell ref="F2:L2"/>
    <mergeCell ref="X2:AE2"/>
  </mergeCells>
  <conditionalFormatting sqref="F9:L10 M9:N9">
    <cfRule type="expression" dxfId="6" priority="1">
      <formula>"VLOOKUP(טבלת_שדות[קבוצת שדות],Table1[#ALL],2)"</formula>
    </cfRule>
  </conditionalFormatting>
  <dataValidations>
    <dataValidation type="list" allowBlank="1" showErrorMessage="1" sqref="I1 AA1">
      <formula1>'אינדקס'!$B$13:$B$225</formula1>
    </dataValidation>
    <dataValidation type="list" allowBlank="1" sqref="M10:N100">
      <formula1>"מפתח / מנהל מערכת,בעל/ת המשרד,מנהל צוות,מנהל/ת חשבונות,חשב/ת שכר,יועץ/ת מס,מתמחה,מנהל/ת משרד,צופה / רו""ח חיצוני,לקוח (פורטל),מערכת / אוטומציה"</formula1>
    </dataValidation>
    <dataValidation type="list" allowBlank="1" sqref="M101 M102: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E10:AF100 X10:Y100 AA10:AA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W1"/>
    <hyperlink display="מעבר לדף הבית" location="'אינדקס'!A1" ref="Y1"/>
    <hyperlink display="יישות לקישור בק אנד למופע שנושא את היישות הרלוונטית" location="'בק אנד (סוגי ישיות)'!A1" ref="K36"/>
  </hyperlinks>
  <printOptions/>
  <pageMargins bottom="1.0" footer="0.0" header="0.0" left="0.75" right="0.75" top="1.0"/>
  <pageSetup orientation="landscape"/>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6" width="30.0"/>
    <col customWidth="1" min="7" max="26" width="8.71"/>
  </cols>
  <sheetData>
    <row r="1">
      <c r="A1" s="124" t="s">
        <v>222</v>
      </c>
      <c r="B1" s="124" t="s">
        <v>224</v>
      </c>
      <c r="C1" s="124" t="s">
        <v>34</v>
      </c>
      <c r="D1" s="124" t="s">
        <v>35</v>
      </c>
      <c r="E1" s="124" t="s">
        <v>225</v>
      </c>
      <c r="F1" s="124" t="s">
        <v>38</v>
      </c>
      <c r="G1" s="109" t="s">
        <v>226</v>
      </c>
    </row>
    <row r="2">
      <c r="A2" s="125" t="s">
        <v>60</v>
      </c>
      <c r="B2" s="125" t="s">
        <v>227</v>
      </c>
      <c r="C2" s="125" t="s">
        <v>94</v>
      </c>
      <c r="D2" s="125" t="s">
        <v>95</v>
      </c>
      <c r="E2" s="125" t="s">
        <v>228</v>
      </c>
      <c r="F2" s="125" t="s">
        <v>229</v>
      </c>
      <c r="G2" s="109" t="s">
        <v>230</v>
      </c>
    </row>
    <row r="3">
      <c r="A3" s="125" t="s">
        <v>70</v>
      </c>
      <c r="B3" s="125" t="s">
        <v>231</v>
      </c>
      <c r="C3" s="125" t="s">
        <v>232</v>
      </c>
      <c r="D3" s="125" t="s">
        <v>233</v>
      </c>
      <c r="E3" s="125" t="s">
        <v>234</v>
      </c>
      <c r="F3" s="125" t="s">
        <v>96</v>
      </c>
      <c r="G3" s="109" t="s">
        <v>235</v>
      </c>
    </row>
    <row r="4">
      <c r="A4" s="125" t="s">
        <v>72</v>
      </c>
      <c r="C4" s="125" t="s">
        <v>237</v>
      </c>
      <c r="D4" s="125" t="s">
        <v>238</v>
      </c>
      <c r="E4" s="125" t="s">
        <v>239</v>
      </c>
      <c r="F4" s="125" t="s">
        <v>240</v>
      </c>
      <c r="G4" s="109" t="s">
        <v>241</v>
      </c>
    </row>
    <row r="5">
      <c r="A5" s="125" t="s">
        <v>76</v>
      </c>
      <c r="D5" s="125" t="s">
        <v>242</v>
      </c>
      <c r="E5" s="125" t="s">
        <v>243</v>
      </c>
      <c r="F5" s="125" t="s">
        <v>244</v>
      </c>
      <c r="G5" s="109" t="s">
        <v>245</v>
      </c>
    </row>
    <row r="6">
      <c r="A6" s="125" t="s">
        <v>82</v>
      </c>
      <c r="D6" s="125" t="s">
        <v>246</v>
      </c>
      <c r="E6" s="125" t="s">
        <v>247</v>
      </c>
      <c r="F6" s="125" t="s">
        <v>248</v>
      </c>
      <c r="G6" s="109" t="s">
        <v>249</v>
      </c>
    </row>
    <row r="7">
      <c r="A7" s="125" t="s">
        <v>90</v>
      </c>
      <c r="D7" s="125" t="s">
        <v>250</v>
      </c>
      <c r="E7" s="125" t="s">
        <v>251</v>
      </c>
      <c r="G7" s="109" t="s">
        <v>252</v>
      </c>
    </row>
    <row r="8">
      <c r="A8" s="125" t="s">
        <v>144</v>
      </c>
      <c r="D8" s="125" t="s">
        <v>253</v>
      </c>
      <c r="E8" s="125" t="s">
        <v>254</v>
      </c>
      <c r="G8" s="109" t="s">
        <v>255</v>
      </c>
    </row>
    <row r="9">
      <c r="A9" s="125" t="s">
        <v>85</v>
      </c>
      <c r="D9" s="125" t="s">
        <v>256</v>
      </c>
      <c r="E9" s="125" t="s">
        <v>257</v>
      </c>
      <c r="G9" s="109" t="s">
        <v>258</v>
      </c>
    </row>
    <row r="10">
      <c r="A10" s="125" t="s">
        <v>142</v>
      </c>
      <c r="D10" s="125" t="s">
        <v>259</v>
      </c>
      <c r="E10" s="125" t="s">
        <v>260</v>
      </c>
      <c r="G10" s="109" t="s">
        <v>261</v>
      </c>
    </row>
    <row r="11">
      <c r="A11" s="125" t="s">
        <v>74</v>
      </c>
      <c r="D11" s="125" t="s">
        <v>262</v>
      </c>
      <c r="E11" s="125" t="s">
        <v>263</v>
      </c>
      <c r="G11" s="109" t="s">
        <v>264</v>
      </c>
    </row>
    <row r="12">
      <c r="A12" s="113" t="s">
        <v>265</v>
      </c>
      <c r="E12" s="125" t="s">
        <v>266</v>
      </c>
      <c r="G12" s="109" t="s">
        <v>267</v>
      </c>
    </row>
    <row r="13">
      <c r="A13" s="125" t="s">
        <v>268</v>
      </c>
      <c r="E13" s="125" t="s">
        <v>269</v>
      </c>
    </row>
    <row r="14">
      <c r="A14" s="125" t="s">
        <v>114</v>
      </c>
      <c r="E14" s="125" t="s">
        <v>270</v>
      </c>
    </row>
    <row r="15">
      <c r="A15" s="125" t="s">
        <v>49</v>
      </c>
      <c r="E15" s="125" t="s">
        <v>271</v>
      </c>
    </row>
    <row r="16">
      <c r="A16" s="125" t="s">
        <v>68</v>
      </c>
      <c r="E16" s="125" t="s">
        <v>272</v>
      </c>
    </row>
    <row r="17">
      <c r="A17" s="125" t="s">
        <v>181</v>
      </c>
      <c r="E17" s="125" t="s">
        <v>273</v>
      </c>
    </row>
    <row r="18">
      <c r="A18" s="125" t="s">
        <v>274</v>
      </c>
      <c r="E18" s="125" t="s">
        <v>275</v>
      </c>
    </row>
    <row r="19">
      <c r="A19" s="125" t="s">
        <v>276</v>
      </c>
      <c r="E19" s="125" t="s">
        <v>277</v>
      </c>
    </row>
    <row r="20">
      <c r="A20" s="125" t="s">
        <v>278</v>
      </c>
      <c r="E20" s="125" t="s">
        <v>279</v>
      </c>
    </row>
    <row r="21" ht="15.75" customHeight="1">
      <c r="A21" s="125" t="s">
        <v>102</v>
      </c>
      <c r="E21" s="125" t="s">
        <v>280</v>
      </c>
    </row>
    <row r="22" ht="15.75" customHeight="1">
      <c r="A22" s="125" t="s">
        <v>281</v>
      </c>
      <c r="E22" s="125" t="s">
        <v>282</v>
      </c>
    </row>
    <row r="23" ht="15.75" customHeight="1">
      <c r="A23" s="125" t="s">
        <v>283</v>
      </c>
      <c r="E23" s="125" t="s">
        <v>284</v>
      </c>
    </row>
    <row r="24" ht="15.75" customHeight="1">
      <c r="A24" s="125" t="s">
        <v>108</v>
      </c>
      <c r="E24" s="125" t="s">
        <v>285</v>
      </c>
    </row>
    <row r="25" ht="15.75" customHeight="1">
      <c r="A25" s="125" t="s">
        <v>286</v>
      </c>
      <c r="E25" s="125" t="s">
        <v>97</v>
      </c>
    </row>
    <row r="26" ht="15.75" customHeight="1">
      <c r="A26" s="125" t="s">
        <v>287</v>
      </c>
      <c r="E26" s="125" t="s">
        <v>288</v>
      </c>
    </row>
    <row r="27" ht="15.75" customHeight="1">
      <c r="A27" s="125" t="s">
        <v>289</v>
      </c>
    </row>
    <row r="28" ht="15.75" customHeight="1">
      <c r="A28" s="125" t="s">
        <v>290</v>
      </c>
    </row>
    <row r="29" ht="15.75" customHeight="1">
      <c r="A29" s="125" t="s">
        <v>132</v>
      </c>
    </row>
    <row r="30" ht="15.75" customHeight="1">
      <c r="A30" s="125" t="s">
        <v>291</v>
      </c>
    </row>
    <row r="31" ht="15.75" customHeight="1">
      <c r="A31" s="125" t="s">
        <v>292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20</v>
      </c>
      <c r="J1" s="12" t="s">
        <v>5</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300</v>
      </c>
      <c r="H10" s="91" t="s">
        <v>301</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300</v>
      </c>
      <c r="C11" s="93" t="b">
        <v>0</v>
      </c>
      <c r="D11" s="77"/>
      <c r="E11" s="101"/>
      <c r="F11" s="89">
        <f t="shared" si="4"/>
        <v>2</v>
      </c>
      <c r="G11" s="90" t="s">
        <v>300</v>
      </c>
      <c r="H11" s="102" t="s">
        <v>303</v>
      </c>
      <c r="I11" s="90" t="s">
        <v>49</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305</v>
      </c>
      <c r="C12" s="93" t="b">
        <v>1</v>
      </c>
      <c r="D12" s="77"/>
      <c r="E12" s="101"/>
      <c r="F12" s="89">
        <f t="shared" si="4"/>
        <v>3</v>
      </c>
      <c r="G12" s="90" t="s">
        <v>300</v>
      </c>
      <c r="H12" s="102" t="s">
        <v>306</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300</v>
      </c>
      <c r="H13" s="102" t="s">
        <v>308</v>
      </c>
      <c r="I13" s="90" t="s">
        <v>74</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305</v>
      </c>
      <c r="H14" s="103"/>
      <c r="I14" s="92"/>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t="str">
        <f t="shared" si="4"/>
        <v/>
      </c>
      <c r="G15" s="92"/>
      <c r="H15" s="103"/>
      <c r="I15" s="92"/>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t="str">
        <f t="shared" si="4"/>
        <v/>
      </c>
      <c r="G16" s="92"/>
      <c r="H16" s="103"/>
      <c r="I16" s="92"/>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t="str">
        <f t="shared" si="4"/>
        <v/>
      </c>
      <c r="G17" s="92"/>
      <c r="H17" s="103"/>
      <c r="I17" s="92"/>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2"/>
      <c r="H18" s="103"/>
      <c r="I18" s="92"/>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3"/>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12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AC10:AD100 G10:G100 I10:I100">
      <formula1>#REF!</formula1>
    </dataValidation>
  </dataValidations>
  <hyperlinks>
    <hyperlink display="מעבר לדף הבית" location="'אינדקס'!A1" ref="G1"/>
    <hyperlink display="אנשי קשר " location="'אנשי קשר'!A1" ref="J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56</v>
      </c>
      <c r="J1" s="13" t="str">
        <f>VLOOKUP(I1,'אינדקס'!B13:C91,2)</f>
        <v>#N/A</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126" t="s">
        <v>315</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28" si="4">IF(G10="","",ROW()-9)</f>
        <v>1</v>
      </c>
      <c r="G10" s="90" t="s">
        <v>317</v>
      </c>
      <c r="H10" s="91" t="s">
        <v>318</v>
      </c>
      <c r="I10" s="90" t="s">
        <v>49</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317</v>
      </c>
      <c r="C11" s="93" t="b">
        <v>0</v>
      </c>
      <c r="D11" s="77"/>
      <c r="E11" s="101"/>
      <c r="F11" s="89">
        <f t="shared" si="4"/>
        <v>2</v>
      </c>
      <c r="G11" s="90" t="s">
        <v>317</v>
      </c>
      <c r="H11" s="102" t="s">
        <v>320</v>
      </c>
      <c r="I11" s="90" t="s">
        <v>114</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321</v>
      </c>
      <c r="C12" s="93" t="b">
        <v>1</v>
      </c>
      <c r="D12" s="77"/>
      <c r="E12" s="101"/>
      <c r="F12" s="89">
        <f t="shared" si="4"/>
        <v>3</v>
      </c>
      <c r="G12" s="90" t="s">
        <v>317</v>
      </c>
      <c r="H12" s="102" t="s">
        <v>322</v>
      </c>
      <c r="I12" s="90" t="s">
        <v>114</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1" t="s">
        <v>323</v>
      </c>
      <c r="C13" s="93" t="b">
        <v>1</v>
      </c>
      <c r="D13" s="77"/>
      <c r="E13" s="101"/>
      <c r="F13" s="89">
        <f t="shared" si="4"/>
        <v>4</v>
      </c>
      <c r="G13" s="90" t="s">
        <v>317</v>
      </c>
      <c r="H13" s="102" t="s">
        <v>324</v>
      </c>
      <c r="I13" s="90" t="s">
        <v>108</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317</v>
      </c>
      <c r="H14" s="102" t="s">
        <v>325</v>
      </c>
      <c r="I14" s="90" t="s">
        <v>70</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317</v>
      </c>
      <c r="H15" s="102" t="s">
        <v>326</v>
      </c>
      <c r="I15" s="90" t="s">
        <v>49</v>
      </c>
      <c r="J15" s="93" t="b">
        <v>0</v>
      </c>
      <c r="K15" s="91" t="s">
        <v>55</v>
      </c>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317</v>
      </c>
      <c r="H16" s="102" t="s">
        <v>327</v>
      </c>
      <c r="I16" s="90" t="s">
        <v>108</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317</v>
      </c>
      <c r="H17" s="102" t="s">
        <v>328</v>
      </c>
      <c r="I17" s="90" t="s">
        <v>60</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317</v>
      </c>
      <c r="H18" s="102" t="s">
        <v>329</v>
      </c>
      <c r="I18" s="90" t="s">
        <v>108</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317</v>
      </c>
      <c r="H19" s="102" t="s">
        <v>330</v>
      </c>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317</v>
      </c>
      <c r="H20" s="106" t="s">
        <v>331</v>
      </c>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317</v>
      </c>
      <c r="H21" s="102" t="s">
        <v>332</v>
      </c>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321</v>
      </c>
      <c r="H22" s="102" t="s">
        <v>333</v>
      </c>
      <c r="I22" s="90" t="s">
        <v>49</v>
      </c>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f t="shared" si="4"/>
        <v>14</v>
      </c>
      <c r="G23" s="90" t="s">
        <v>321</v>
      </c>
      <c r="H23" s="102" t="s">
        <v>334</v>
      </c>
      <c r="I23" s="90" t="s">
        <v>278</v>
      </c>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f t="shared" si="4"/>
        <v>15</v>
      </c>
      <c r="G24" s="90" t="s">
        <v>321</v>
      </c>
      <c r="H24" s="102" t="s">
        <v>335</v>
      </c>
      <c r="I24" s="90" t="s">
        <v>60</v>
      </c>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f t="shared" si="4"/>
        <v>16</v>
      </c>
      <c r="G25" s="90" t="s">
        <v>321</v>
      </c>
      <c r="H25" s="102" t="s">
        <v>336</v>
      </c>
      <c r="I25" s="90" t="s">
        <v>60</v>
      </c>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f t="shared" si="4"/>
        <v>17</v>
      </c>
      <c r="G26" s="90" t="s">
        <v>321</v>
      </c>
      <c r="H26" s="102" t="s">
        <v>337</v>
      </c>
      <c r="I26" s="90" t="s">
        <v>108</v>
      </c>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f t="shared" si="4"/>
        <v>18</v>
      </c>
      <c r="G27" s="90" t="s">
        <v>321</v>
      </c>
      <c r="H27" s="102" t="s">
        <v>329</v>
      </c>
      <c r="I27" s="90" t="s">
        <v>108</v>
      </c>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f t="shared" si="4"/>
        <v>19</v>
      </c>
      <c r="G28" s="90" t="s">
        <v>321</v>
      </c>
      <c r="H28" s="102" t="s">
        <v>308</v>
      </c>
      <c r="I28" s="90" t="s">
        <v>278</v>
      </c>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f>IF(H29="","",ROW()-9)</f>
        <v>20</v>
      </c>
      <c r="G29" s="128" t="s">
        <v>323</v>
      </c>
      <c r="H29" s="91" t="s">
        <v>323</v>
      </c>
      <c r="I29" s="90" t="s">
        <v>74</v>
      </c>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f t="shared" ref="F30:F69" si="6">IF(G30="","",ROW()-9)</f>
        <v>21</v>
      </c>
      <c r="G30" s="128" t="s">
        <v>323</v>
      </c>
      <c r="H30" s="102" t="s">
        <v>338</v>
      </c>
      <c r="I30" s="90" t="s">
        <v>114</v>
      </c>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f t="shared" si="6"/>
        <v>22</v>
      </c>
      <c r="G31" s="128" t="s">
        <v>323</v>
      </c>
      <c r="H31" s="102" t="s">
        <v>322</v>
      </c>
      <c r="I31" s="90" t="s">
        <v>114</v>
      </c>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f t="shared" si="6"/>
        <v>23</v>
      </c>
      <c r="G32" s="128" t="s">
        <v>323</v>
      </c>
      <c r="H32" s="102" t="s">
        <v>339</v>
      </c>
      <c r="I32" s="90" t="s">
        <v>181</v>
      </c>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f t="shared" si="6"/>
        <v>24</v>
      </c>
      <c r="G33" s="90" t="s">
        <v>317</v>
      </c>
      <c r="H33" s="102" t="s">
        <v>340</v>
      </c>
      <c r="I33" s="90" t="s">
        <v>108</v>
      </c>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f t="shared" si="6"/>
        <v>25</v>
      </c>
      <c r="G34" s="90" t="s">
        <v>321</v>
      </c>
      <c r="H34" s="102" t="s">
        <v>341</v>
      </c>
      <c r="I34" s="90" t="s">
        <v>108</v>
      </c>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f t="shared" si="6"/>
        <v>26</v>
      </c>
      <c r="G35" s="90" t="s">
        <v>321</v>
      </c>
      <c r="H35" s="102" t="s">
        <v>342</v>
      </c>
      <c r="I35" s="90" t="s">
        <v>278</v>
      </c>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f t="shared" si="6"/>
        <v>27</v>
      </c>
      <c r="G36" s="90" t="s">
        <v>321</v>
      </c>
      <c r="H36" s="102" t="s">
        <v>343</v>
      </c>
      <c r="I36" s="90" t="s">
        <v>108</v>
      </c>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f t="shared" si="6"/>
        <v>28</v>
      </c>
      <c r="G37" s="90" t="s">
        <v>321</v>
      </c>
      <c r="H37" s="102" t="s">
        <v>344</v>
      </c>
      <c r="I37" s="90" t="s">
        <v>114</v>
      </c>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f t="shared" si="6"/>
        <v>29</v>
      </c>
      <c r="G38" s="90" t="s">
        <v>321</v>
      </c>
      <c r="H38" s="102" t="s">
        <v>322</v>
      </c>
      <c r="I38" s="90" t="s">
        <v>114</v>
      </c>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6"/>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6"/>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6"/>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6"/>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6"/>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6"/>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6"/>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6"/>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6"/>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6"/>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6"/>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6"/>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6"/>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6"/>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6"/>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6"/>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6"/>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6"/>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6"/>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6"/>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6"/>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6"/>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6"/>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6"/>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6"/>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6"/>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6"/>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6"/>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6"/>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6"/>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6"/>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7">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7"/>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7"/>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7"/>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7"/>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7"/>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7"/>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7"/>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7"/>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7"/>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7"/>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7"/>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7"/>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7"/>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7"/>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7"/>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7"/>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7"/>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7"/>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7"/>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7"/>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7"/>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7"/>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7"/>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7"/>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7"/>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7"/>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7"/>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7"/>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7"/>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7"/>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7"/>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7"/>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7"/>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7"/>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7"/>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7"/>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7"/>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7"/>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7"/>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7"/>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7"/>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7"/>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7"/>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7"/>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7"/>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7"/>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7"/>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7"/>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7"/>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7"/>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7"/>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7"/>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7"/>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7"/>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7"/>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7"/>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7"/>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7"/>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7"/>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7"/>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7"/>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7"/>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7"/>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7"/>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7"/>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7"/>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7"/>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7"/>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7"/>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7"/>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7"/>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7"/>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7"/>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7"/>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7"/>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7"/>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7"/>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7"/>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7"/>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7"/>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7"/>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7"/>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7"/>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7"/>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7"/>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7"/>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7"/>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7"/>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7"/>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7"/>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7"/>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7"/>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7"/>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7"/>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7"/>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7"/>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7"/>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7"/>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7"/>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7"/>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7"/>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7"/>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7"/>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7"/>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7"/>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7"/>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7"/>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7"/>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7"/>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7"/>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7"/>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7"/>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7"/>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7"/>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7"/>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7"/>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7"/>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7"/>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7"/>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7"/>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7"/>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7"/>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7"/>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7"/>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7"/>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7"/>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7"/>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7"/>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G10:G100 I10:I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345</v>
      </c>
      <c r="H10" s="91" t="s">
        <v>318</v>
      </c>
      <c r="I10" s="90" t="s">
        <v>49</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345</v>
      </c>
      <c r="C11" s="93" t="b">
        <v>0</v>
      </c>
      <c r="D11" s="77"/>
      <c r="E11" s="101"/>
      <c r="F11" s="89">
        <f t="shared" si="4"/>
        <v>2</v>
      </c>
      <c r="G11" s="90" t="s">
        <v>345</v>
      </c>
      <c r="H11" s="102" t="s">
        <v>179</v>
      </c>
      <c r="I11" s="90" t="s">
        <v>49</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9"/>
      <c r="C12" s="93" t="b">
        <v>0</v>
      </c>
      <c r="D12" s="77"/>
      <c r="E12" s="101"/>
      <c r="F12" s="89">
        <f t="shared" si="4"/>
        <v>3</v>
      </c>
      <c r="G12" s="90" t="s">
        <v>345</v>
      </c>
      <c r="H12" s="102" t="s">
        <v>50</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345</v>
      </c>
      <c r="H13" s="102" t="s">
        <v>346</v>
      </c>
      <c r="I13" s="90" t="s">
        <v>70</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345</v>
      </c>
      <c r="H14" s="102" t="s">
        <v>347</v>
      </c>
      <c r="I14" s="90" t="s">
        <v>114</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345</v>
      </c>
      <c r="H15" s="102" t="s">
        <v>348</v>
      </c>
      <c r="I15" s="90" t="s">
        <v>74</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345</v>
      </c>
      <c r="H16" s="102" t="s">
        <v>349</v>
      </c>
      <c r="I16" s="90" t="s">
        <v>49</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345</v>
      </c>
      <c r="H17" s="102" t="s">
        <v>350</v>
      </c>
      <c r="I17" s="90" t="s">
        <v>49</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0"/>
      <c r="H18" s="103"/>
      <c r="I18" s="92"/>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3"/>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18 H9:H10 I9:I12 J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C10:AD100 W10:W100 Y10:Y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20</v>
      </c>
      <c r="J1" s="12" t="s">
        <v>5</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351</v>
      </c>
      <c r="H10" s="102" t="s">
        <v>352</v>
      </c>
      <c r="I10" s="90" t="s">
        <v>114</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353</v>
      </c>
      <c r="C11" s="93" t="b">
        <v>0</v>
      </c>
      <c r="D11" s="77"/>
      <c r="E11" s="101"/>
      <c r="F11" s="89">
        <f t="shared" si="4"/>
        <v>2</v>
      </c>
      <c r="G11" s="90" t="s">
        <v>351</v>
      </c>
      <c r="H11" s="102" t="s">
        <v>354</v>
      </c>
      <c r="I11" s="90" t="s">
        <v>114</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355</v>
      </c>
      <c r="C12" s="93" t="b">
        <v>0</v>
      </c>
      <c r="D12" s="77"/>
      <c r="E12" s="101"/>
      <c r="F12" s="89">
        <f t="shared" si="4"/>
        <v>3</v>
      </c>
      <c r="G12" s="90" t="s">
        <v>351</v>
      </c>
      <c r="H12" s="102" t="s">
        <v>356</v>
      </c>
      <c r="I12" s="90" t="s">
        <v>114</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1" t="s">
        <v>351</v>
      </c>
      <c r="C13" s="93" t="b">
        <v>0</v>
      </c>
      <c r="D13" s="77"/>
      <c r="E13" s="101"/>
      <c r="F13" s="89">
        <f t="shared" si="4"/>
        <v>4</v>
      </c>
      <c r="G13" s="90" t="s">
        <v>351</v>
      </c>
      <c r="H13" s="102" t="s">
        <v>357</v>
      </c>
      <c r="I13" s="90" t="s">
        <v>114</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1" t="s">
        <v>358</v>
      </c>
      <c r="C14" s="93" t="b">
        <v>0</v>
      </c>
      <c r="D14" s="77"/>
      <c r="E14" s="101"/>
      <c r="F14" s="89">
        <f t="shared" si="4"/>
        <v>5</v>
      </c>
      <c r="G14" s="90" t="s">
        <v>351</v>
      </c>
      <c r="H14" s="102" t="s">
        <v>351</v>
      </c>
      <c r="I14" s="90" t="s">
        <v>114</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1" t="s">
        <v>359</v>
      </c>
      <c r="C15" s="93" t="b">
        <v>0</v>
      </c>
      <c r="D15" s="77"/>
      <c r="E15" s="101"/>
      <c r="F15" s="89">
        <f t="shared" si="4"/>
        <v>6</v>
      </c>
      <c r="G15" s="90" t="s">
        <v>351</v>
      </c>
      <c r="H15" s="102" t="s">
        <v>360</v>
      </c>
      <c r="I15" s="90" t="s">
        <v>108</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351</v>
      </c>
      <c r="H16" s="102" t="s">
        <v>361</v>
      </c>
      <c r="I16" s="90" t="s">
        <v>108</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351</v>
      </c>
      <c r="H17" s="102" t="s">
        <v>362</v>
      </c>
      <c r="I17" s="90" t="s">
        <v>60</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358</v>
      </c>
      <c r="H18" s="102" t="s">
        <v>363</v>
      </c>
      <c r="I18" s="90" t="s">
        <v>49</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358</v>
      </c>
      <c r="H19" s="102" t="s">
        <v>364</v>
      </c>
      <c r="I19" s="90" t="s">
        <v>49</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358</v>
      </c>
      <c r="H20" s="102" t="s">
        <v>365</v>
      </c>
      <c r="I20" s="90" t="s">
        <v>49</v>
      </c>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358</v>
      </c>
      <c r="H21" s="102" t="s">
        <v>366</v>
      </c>
      <c r="I21" s="90" t="s">
        <v>108</v>
      </c>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353</v>
      </c>
      <c r="H22" s="91" t="s">
        <v>367</v>
      </c>
      <c r="I22" s="90" t="s">
        <v>60</v>
      </c>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f t="shared" si="4"/>
        <v>14</v>
      </c>
      <c r="G23" s="90" t="s">
        <v>353</v>
      </c>
      <c r="H23" s="102" t="s">
        <v>48</v>
      </c>
      <c r="I23" s="90" t="s">
        <v>49</v>
      </c>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f t="shared" si="4"/>
        <v>15</v>
      </c>
      <c r="G24" s="90" t="s">
        <v>353</v>
      </c>
      <c r="H24" s="102" t="s">
        <v>180</v>
      </c>
      <c r="I24" s="90" t="s">
        <v>74</v>
      </c>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f t="shared" si="4"/>
        <v>16</v>
      </c>
      <c r="G25" s="90" t="s">
        <v>353</v>
      </c>
      <c r="H25" s="102" t="s">
        <v>368</v>
      </c>
      <c r="I25" s="90" t="s">
        <v>49</v>
      </c>
      <c r="J25" s="93" t="b">
        <v>0</v>
      </c>
      <c r="K25" s="121"/>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f t="shared" si="4"/>
        <v>17</v>
      </c>
      <c r="G26" s="90" t="s">
        <v>353</v>
      </c>
      <c r="H26" s="102" t="s">
        <v>369</v>
      </c>
      <c r="I26" s="90" t="s">
        <v>49</v>
      </c>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f t="shared" si="4"/>
        <v>18</v>
      </c>
      <c r="G27" s="90" t="s">
        <v>353</v>
      </c>
      <c r="H27" s="102" t="s">
        <v>370</v>
      </c>
      <c r="I27" s="90" t="s">
        <v>70</v>
      </c>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f t="shared" si="4"/>
        <v>19</v>
      </c>
      <c r="G28" s="90" t="s">
        <v>353</v>
      </c>
      <c r="H28" s="106" t="s">
        <v>371</v>
      </c>
      <c r="I28" s="90" t="s">
        <v>74</v>
      </c>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f t="shared" si="4"/>
        <v>20</v>
      </c>
      <c r="G29" s="90" t="s">
        <v>353</v>
      </c>
      <c r="H29" s="102" t="s">
        <v>372</v>
      </c>
      <c r="I29" s="90" t="s">
        <v>49</v>
      </c>
      <c r="J29" s="93" t="b">
        <v>0</v>
      </c>
      <c r="K29" s="89"/>
      <c r="L29" s="91" t="s">
        <v>373</v>
      </c>
      <c r="M29" s="129"/>
      <c r="N29" s="129"/>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f t="shared" si="4"/>
        <v>21</v>
      </c>
      <c r="G30" s="90" t="s">
        <v>353</v>
      </c>
      <c r="H30" s="102" t="s">
        <v>374</v>
      </c>
      <c r="I30" s="90" t="s">
        <v>114</v>
      </c>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f t="shared" si="4"/>
        <v>22</v>
      </c>
      <c r="G31" s="90" t="s">
        <v>353</v>
      </c>
      <c r="H31" s="102" t="s">
        <v>375</v>
      </c>
      <c r="I31" s="90" t="s">
        <v>114</v>
      </c>
      <c r="J31" s="93" t="b">
        <v>0</v>
      </c>
      <c r="K31" s="89"/>
      <c r="L31" s="91" t="s">
        <v>376</v>
      </c>
      <c r="M31" s="129"/>
      <c r="N31" s="129"/>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f t="shared" si="4"/>
        <v>23</v>
      </c>
      <c r="G32" s="90" t="s">
        <v>353</v>
      </c>
      <c r="H32" s="102" t="s">
        <v>377</v>
      </c>
      <c r="I32" s="90" t="s">
        <v>74</v>
      </c>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f t="shared" si="4"/>
        <v>24</v>
      </c>
      <c r="G33" s="90" t="s">
        <v>353</v>
      </c>
      <c r="H33" s="102" t="s">
        <v>378</v>
      </c>
      <c r="I33" s="90" t="s">
        <v>90</v>
      </c>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f t="shared" si="4"/>
        <v>25</v>
      </c>
      <c r="G34" s="90" t="s">
        <v>353</v>
      </c>
      <c r="H34" s="102" t="s">
        <v>379</v>
      </c>
      <c r="I34" s="90" t="s">
        <v>49</v>
      </c>
      <c r="J34" s="93" t="b">
        <v>0</v>
      </c>
      <c r="K34" s="122"/>
      <c r="L34" s="91" t="s">
        <v>380</v>
      </c>
      <c r="M34" s="129"/>
      <c r="N34" s="129"/>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f t="shared" si="4"/>
        <v>26</v>
      </c>
      <c r="G35" s="90" t="s">
        <v>353</v>
      </c>
      <c r="H35" s="102" t="s">
        <v>381</v>
      </c>
      <c r="I35" s="90" t="s">
        <v>108</v>
      </c>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f t="shared" si="4"/>
        <v>27</v>
      </c>
      <c r="G36" s="90" t="s">
        <v>353</v>
      </c>
      <c r="H36" s="102" t="s">
        <v>382</v>
      </c>
      <c r="I36" s="90" t="s">
        <v>108</v>
      </c>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f t="shared" si="4"/>
        <v>28</v>
      </c>
      <c r="G37" s="90" t="s">
        <v>355</v>
      </c>
      <c r="H37" s="102" t="s">
        <v>203</v>
      </c>
      <c r="I37" s="90" t="s">
        <v>74</v>
      </c>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f t="shared" si="4"/>
        <v>29</v>
      </c>
      <c r="G38" s="90" t="s">
        <v>355</v>
      </c>
      <c r="H38" s="102" t="s">
        <v>385</v>
      </c>
      <c r="I38" s="90" t="s">
        <v>90</v>
      </c>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f t="shared" si="4"/>
        <v>30</v>
      </c>
      <c r="G39" s="90" t="s">
        <v>358</v>
      </c>
      <c r="H39" s="102" t="s">
        <v>387</v>
      </c>
      <c r="I39" s="90" t="s">
        <v>108</v>
      </c>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f t="shared" si="4"/>
        <v>31</v>
      </c>
      <c r="G40" s="90" t="s">
        <v>358</v>
      </c>
      <c r="H40" s="102" t="s">
        <v>390</v>
      </c>
      <c r="I40" s="90" t="s">
        <v>108</v>
      </c>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f t="shared" si="4"/>
        <v>32</v>
      </c>
      <c r="G41" s="90" t="s">
        <v>353</v>
      </c>
      <c r="H41" s="102" t="s">
        <v>393</v>
      </c>
      <c r="I41" s="90" t="s">
        <v>49</v>
      </c>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f t="shared" si="4"/>
        <v>33</v>
      </c>
      <c r="G42" s="90" t="s">
        <v>353</v>
      </c>
      <c r="H42" s="102" t="s">
        <v>395</v>
      </c>
      <c r="I42" s="90" t="s">
        <v>49</v>
      </c>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f t="shared" si="4"/>
        <v>34</v>
      </c>
      <c r="G43" s="90" t="s">
        <v>353</v>
      </c>
      <c r="H43" s="102" t="s">
        <v>397</v>
      </c>
      <c r="I43" s="90" t="s">
        <v>49</v>
      </c>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f t="shared" si="4"/>
        <v>35</v>
      </c>
      <c r="G44" s="90" t="s">
        <v>353</v>
      </c>
      <c r="H44" s="102" t="s">
        <v>398</v>
      </c>
      <c r="I44" s="90" t="s">
        <v>49</v>
      </c>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f t="shared" si="4"/>
        <v>36</v>
      </c>
      <c r="G45" s="90" t="s">
        <v>353</v>
      </c>
      <c r="H45" s="102" t="s">
        <v>400</v>
      </c>
      <c r="I45" s="90" t="s">
        <v>49</v>
      </c>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f t="shared" si="4"/>
        <v>37</v>
      </c>
      <c r="G46" s="90" t="s">
        <v>359</v>
      </c>
      <c r="H46" s="102" t="s">
        <v>402</v>
      </c>
      <c r="I46" s="90" t="s">
        <v>49</v>
      </c>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2" t="s">
        <v>404</v>
      </c>
      <c r="I47" s="90" t="s">
        <v>49</v>
      </c>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2" t="s">
        <v>406</v>
      </c>
      <c r="I48" s="90" t="s">
        <v>114</v>
      </c>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2" t="s">
        <v>409</v>
      </c>
      <c r="I49" s="90" t="s">
        <v>70</v>
      </c>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2" t="s">
        <v>411</v>
      </c>
      <c r="I50" s="90" t="s">
        <v>74</v>
      </c>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30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C10:AD100 W10:W100 Y10:Y100">
      <formula1>#REF!</formula1>
    </dataValidation>
  </dataValidations>
  <hyperlinks>
    <hyperlink display="מעבר לדף הבית" location="'אינדקס'!A1" ref="G1"/>
    <hyperlink display="אנשי קשר " location="'אנשי קשר'!A1" ref="J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383</v>
      </c>
      <c r="H10" s="91" t="s">
        <v>384</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383</v>
      </c>
      <c r="C11" s="93" t="b">
        <v>0</v>
      </c>
      <c r="D11" s="77"/>
      <c r="E11" s="101"/>
      <c r="F11" s="89">
        <f t="shared" si="4"/>
        <v>2</v>
      </c>
      <c r="G11" s="90" t="s">
        <v>383</v>
      </c>
      <c r="H11" s="102" t="s">
        <v>386</v>
      </c>
      <c r="I11" s="90" t="s">
        <v>60</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388</v>
      </c>
      <c r="C12" s="93" t="b">
        <v>0</v>
      </c>
      <c r="D12" s="77"/>
      <c r="E12" s="101"/>
      <c r="F12" s="89">
        <f t="shared" si="4"/>
        <v>3</v>
      </c>
      <c r="G12" s="90" t="s">
        <v>383</v>
      </c>
      <c r="H12" s="102" t="s">
        <v>84</v>
      </c>
      <c r="I12" s="90" t="s">
        <v>85</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1" t="s">
        <v>389</v>
      </c>
      <c r="C13" s="93" t="b">
        <v>0</v>
      </c>
      <c r="D13" s="77"/>
      <c r="E13" s="101"/>
      <c r="F13" s="89">
        <f t="shared" si="4"/>
        <v>4</v>
      </c>
      <c r="G13" s="90" t="s">
        <v>383</v>
      </c>
      <c r="H13" s="102" t="s">
        <v>391</v>
      </c>
      <c r="I13" s="90" t="s">
        <v>90</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383</v>
      </c>
      <c r="H14" s="102" t="s">
        <v>392</v>
      </c>
      <c r="I14" s="90" t="s">
        <v>82</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383</v>
      </c>
      <c r="H15" s="102" t="s">
        <v>394</v>
      </c>
      <c r="I15" s="90" t="s">
        <v>142</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383</v>
      </c>
      <c r="H16" s="102" t="s">
        <v>396</v>
      </c>
      <c r="I16" s="90" t="s">
        <v>85</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383</v>
      </c>
      <c r="H17" s="102" t="s">
        <v>26</v>
      </c>
      <c r="I17" s="90" t="s">
        <v>74</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388</v>
      </c>
      <c r="H18" s="102" t="s">
        <v>399</v>
      </c>
      <c r="I18" s="90" t="s">
        <v>114</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388</v>
      </c>
      <c r="H19" s="102" t="s">
        <v>401</v>
      </c>
      <c r="I19" s="90" t="s">
        <v>49</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388</v>
      </c>
      <c r="H20" s="106" t="s">
        <v>403</v>
      </c>
      <c r="I20" s="90" t="s">
        <v>60</v>
      </c>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388</v>
      </c>
      <c r="H21" s="102" t="s">
        <v>405</v>
      </c>
      <c r="I21" s="90" t="s">
        <v>70</v>
      </c>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388</v>
      </c>
      <c r="H22" s="102" t="s">
        <v>407</v>
      </c>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f t="shared" si="4"/>
        <v>14</v>
      </c>
      <c r="G23" s="90" t="s">
        <v>389</v>
      </c>
      <c r="H23" s="102" t="s">
        <v>408</v>
      </c>
      <c r="I23" s="90" t="s">
        <v>49</v>
      </c>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f t="shared" si="4"/>
        <v>15</v>
      </c>
      <c r="G24" s="90" t="s">
        <v>389</v>
      </c>
      <c r="H24" s="102" t="s">
        <v>410</v>
      </c>
      <c r="I24" s="90" t="s">
        <v>72</v>
      </c>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f t="shared" si="4"/>
        <v>16</v>
      </c>
      <c r="G25" s="90" t="s">
        <v>389</v>
      </c>
      <c r="H25" s="102" t="s">
        <v>412</v>
      </c>
      <c r="I25" s="90" t="s">
        <v>74</v>
      </c>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f t="shared" si="4"/>
        <v>17</v>
      </c>
      <c r="G26" s="90" t="s">
        <v>389</v>
      </c>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AC10:AD100 W10:W100 Y10:Y100 G10:G100 I10:I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20</v>
      </c>
      <c r="J1" s="12" t="s">
        <v>5</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413</v>
      </c>
      <c r="H10" s="102" t="s">
        <v>414</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415</v>
      </c>
      <c r="C11" s="93" t="b">
        <v>0</v>
      </c>
      <c r="D11" s="77"/>
      <c r="E11" s="101"/>
      <c r="F11" s="89">
        <f t="shared" si="4"/>
        <v>2</v>
      </c>
      <c r="G11" s="90" t="s">
        <v>413</v>
      </c>
      <c r="H11" s="102" t="s">
        <v>416</v>
      </c>
      <c r="I11" s="90" t="s">
        <v>72</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413</v>
      </c>
      <c r="C12" s="93" t="b">
        <v>1</v>
      </c>
      <c r="D12" s="77"/>
      <c r="E12" s="101"/>
      <c r="F12" s="89">
        <f t="shared" si="4"/>
        <v>3</v>
      </c>
      <c r="G12" s="90" t="s">
        <v>413</v>
      </c>
      <c r="H12" s="102" t="s">
        <v>417</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1"/>
      <c r="C13" s="93" t="b">
        <v>0</v>
      </c>
      <c r="D13" s="77"/>
      <c r="E13" s="101"/>
      <c r="F13" s="89">
        <f t="shared" si="4"/>
        <v>4</v>
      </c>
      <c r="G13" s="90" t="s">
        <v>413</v>
      </c>
      <c r="H13" s="102" t="s">
        <v>26</v>
      </c>
      <c r="I13" s="90" t="s">
        <v>74</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415</v>
      </c>
      <c r="H14" s="91" t="s">
        <v>418</v>
      </c>
      <c r="I14" s="90" t="s">
        <v>60</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415</v>
      </c>
      <c r="H15" s="102" t="s">
        <v>174</v>
      </c>
      <c r="I15" s="90" t="s">
        <v>49</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415</v>
      </c>
      <c r="H16" s="102" t="s">
        <v>419</v>
      </c>
      <c r="I16" s="90" t="s">
        <v>49</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415</v>
      </c>
      <c r="H17" s="102" t="s">
        <v>420</v>
      </c>
      <c r="I17" s="90" t="s">
        <v>278</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415</v>
      </c>
      <c r="H18" s="102" t="s">
        <v>421</v>
      </c>
      <c r="I18" s="90" t="s">
        <v>49</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415</v>
      </c>
      <c r="H19" s="106" t="s">
        <v>422</v>
      </c>
      <c r="I19" s="90" t="s">
        <v>74</v>
      </c>
      <c r="J19" s="93" t="b">
        <v>1</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3"/>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G10:G100 I10:I100 AC10:AD100">
      <formula1>#REF!</formula1>
    </dataValidation>
  </dataValidations>
  <hyperlinks>
    <hyperlink display="מעבר לדף הבית" location="'אינדקס'!A1" ref="G1"/>
    <hyperlink display="אנשי קשר " location="'אנשי קשר'!A1" ref="J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423</v>
      </c>
      <c r="H10" s="91" t="s">
        <v>424</v>
      </c>
      <c r="I10" s="90" t="s">
        <v>49</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423</v>
      </c>
      <c r="C11" s="93" t="b">
        <v>0</v>
      </c>
      <c r="D11" s="77"/>
      <c r="E11" s="101"/>
      <c r="F11" s="89">
        <f t="shared" si="4"/>
        <v>2</v>
      </c>
      <c r="G11" s="90" t="s">
        <v>423</v>
      </c>
      <c r="H11" s="102" t="s">
        <v>425</v>
      </c>
      <c r="I11" s="90" t="s">
        <v>49</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55</v>
      </c>
      <c r="C12" s="93" t="b">
        <v>1</v>
      </c>
      <c r="D12" s="77"/>
      <c r="E12" s="101"/>
      <c r="F12" s="89">
        <f t="shared" si="4"/>
        <v>3</v>
      </c>
      <c r="G12" s="90" t="s">
        <v>423</v>
      </c>
      <c r="H12" s="102" t="s">
        <v>426</v>
      </c>
      <c r="I12" s="90" t="s">
        <v>278</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423</v>
      </c>
      <c r="H13" s="102" t="s">
        <v>427</v>
      </c>
      <c r="I13" s="90" t="s">
        <v>49</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423</v>
      </c>
      <c r="H14" s="102" t="s">
        <v>354</v>
      </c>
      <c r="I14" s="90" t="s">
        <v>49</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423</v>
      </c>
      <c r="H15" s="102" t="s">
        <v>405</v>
      </c>
      <c r="I15" s="90" t="s">
        <v>70</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423</v>
      </c>
      <c r="H16" s="102" t="s">
        <v>433</v>
      </c>
      <c r="I16" s="90" t="s">
        <v>49</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423</v>
      </c>
      <c r="H17" s="102" t="s">
        <v>437</v>
      </c>
      <c r="I17" s="90" t="s">
        <v>108</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423</v>
      </c>
      <c r="H18" s="102" t="s">
        <v>439</v>
      </c>
      <c r="I18" s="90" t="s">
        <v>114</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423</v>
      </c>
      <c r="H19" s="102" t="s">
        <v>444</v>
      </c>
      <c r="I19" s="90" t="s">
        <v>108</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423</v>
      </c>
      <c r="H20" s="106" t="s">
        <v>447</v>
      </c>
      <c r="I20" s="90" t="s">
        <v>49</v>
      </c>
      <c r="J20" s="93" t="b">
        <v>0</v>
      </c>
      <c r="K20" s="89"/>
      <c r="L20" s="91" t="s">
        <v>448</v>
      </c>
      <c r="M20" s="129"/>
      <c r="N20" s="129"/>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423</v>
      </c>
      <c r="H21" s="102" t="s">
        <v>452</v>
      </c>
      <c r="I21" s="90" t="s">
        <v>90</v>
      </c>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423</v>
      </c>
      <c r="H22" s="102" t="s">
        <v>453</v>
      </c>
      <c r="I22" s="90" t="s">
        <v>108</v>
      </c>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f t="shared" si="4"/>
        <v>14</v>
      </c>
      <c r="G23" s="90" t="s">
        <v>55</v>
      </c>
      <c r="H23" s="102" t="s">
        <v>414</v>
      </c>
      <c r="I23" s="90" t="s">
        <v>60</v>
      </c>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f t="shared" si="4"/>
        <v>15</v>
      </c>
      <c r="G24" s="90" t="s">
        <v>55</v>
      </c>
      <c r="H24" s="102" t="s">
        <v>416</v>
      </c>
      <c r="I24" s="90" t="s">
        <v>72</v>
      </c>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f t="shared" si="4"/>
        <v>16</v>
      </c>
      <c r="G25" s="90" t="s">
        <v>55</v>
      </c>
      <c r="H25" s="102" t="s">
        <v>438</v>
      </c>
      <c r="I25" s="90" t="s">
        <v>49</v>
      </c>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f t="shared" si="4"/>
        <v>17</v>
      </c>
      <c r="G26" s="90" t="s">
        <v>55</v>
      </c>
      <c r="H26" s="102" t="s">
        <v>26</v>
      </c>
      <c r="I26" s="90" t="s">
        <v>74</v>
      </c>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22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C10:AD100 W10:W100 Y10:Y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430</v>
      </c>
      <c r="H10" s="91" t="s">
        <v>431</v>
      </c>
      <c r="I10" s="90" t="s">
        <v>49</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430</v>
      </c>
      <c r="C11" s="93" t="b">
        <v>0</v>
      </c>
      <c r="D11" s="77"/>
      <c r="E11" s="101"/>
      <c r="F11" s="89">
        <f t="shared" si="4"/>
        <v>2</v>
      </c>
      <c r="G11" s="90" t="s">
        <v>430</v>
      </c>
      <c r="H11" s="102" t="s">
        <v>424</v>
      </c>
      <c r="I11" s="90" t="s">
        <v>49</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9"/>
      <c r="C12" s="93" t="b">
        <v>0</v>
      </c>
      <c r="D12" s="77"/>
      <c r="E12" s="101"/>
      <c r="F12" s="89">
        <f t="shared" si="4"/>
        <v>3</v>
      </c>
      <c r="G12" s="90" t="s">
        <v>430</v>
      </c>
      <c r="H12" s="102" t="s">
        <v>435</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430</v>
      </c>
      <c r="H13" s="102" t="s">
        <v>405</v>
      </c>
      <c r="I13" s="90" t="s">
        <v>90</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430</v>
      </c>
      <c r="H14" s="102" t="s">
        <v>441</v>
      </c>
      <c r="I14" s="90" t="s">
        <v>114</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430</v>
      </c>
      <c r="H15" s="102" t="s">
        <v>443</v>
      </c>
      <c r="I15" s="90" t="s">
        <v>90</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430</v>
      </c>
      <c r="H16" s="102" t="s">
        <v>446</v>
      </c>
      <c r="I16" s="90" t="s">
        <v>49</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430</v>
      </c>
      <c r="H17" s="102" t="s">
        <v>450</v>
      </c>
      <c r="I17" s="90" t="s">
        <v>49</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2"/>
      <c r="H18" s="103"/>
      <c r="I18" s="92"/>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3"/>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17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AC10:AD100 W10:W100 Y10:Y100 G10:G100 I10:I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428</v>
      </c>
      <c r="H10" s="91" t="s">
        <v>429</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428</v>
      </c>
      <c r="C11" s="93" t="b">
        <v>0</v>
      </c>
      <c r="D11" s="77"/>
      <c r="E11" s="101"/>
      <c r="F11" s="89">
        <f t="shared" si="4"/>
        <v>2</v>
      </c>
      <c r="G11" s="90" t="s">
        <v>428</v>
      </c>
      <c r="H11" s="102" t="s">
        <v>432</v>
      </c>
      <c r="I11" s="90" t="s">
        <v>268</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9"/>
      <c r="C12" s="93" t="b">
        <v>0</v>
      </c>
      <c r="D12" s="77"/>
      <c r="E12" s="101"/>
      <c r="F12" s="89">
        <f t="shared" si="4"/>
        <v>3</v>
      </c>
      <c r="G12" s="90" t="s">
        <v>428</v>
      </c>
      <c r="H12" s="102" t="s">
        <v>318</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428</v>
      </c>
      <c r="H13" s="102" t="s">
        <v>434</v>
      </c>
      <c r="I13" s="90" t="s">
        <v>49</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428</v>
      </c>
      <c r="H14" s="102" t="s">
        <v>436</v>
      </c>
      <c r="I14" s="90" t="s">
        <v>108</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428</v>
      </c>
      <c r="H15" s="102" t="s">
        <v>438</v>
      </c>
      <c r="I15" s="90" t="s">
        <v>49</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428</v>
      </c>
      <c r="H16" s="102" t="s">
        <v>440</v>
      </c>
      <c r="I16" s="90" t="s">
        <v>70</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428</v>
      </c>
      <c r="H17" s="102" t="s">
        <v>442</v>
      </c>
      <c r="I17" s="90" t="s">
        <v>114</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428</v>
      </c>
      <c r="H18" s="102" t="s">
        <v>445</v>
      </c>
      <c r="I18" s="90" t="s">
        <v>49</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428</v>
      </c>
      <c r="H19" s="102" t="s">
        <v>449</v>
      </c>
      <c r="I19" s="90" t="s">
        <v>70</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428</v>
      </c>
      <c r="H20" s="106" t="s">
        <v>451</v>
      </c>
      <c r="I20" s="90" t="s">
        <v>74</v>
      </c>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428</v>
      </c>
      <c r="H21" s="102" t="s">
        <v>322</v>
      </c>
      <c r="I21" s="90" t="s">
        <v>114</v>
      </c>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428</v>
      </c>
      <c r="H22" s="102" t="s">
        <v>454</v>
      </c>
      <c r="I22" s="90" t="s">
        <v>108</v>
      </c>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22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G10:G100 I10:I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56</v>
      </c>
      <c r="J1" s="13" t="str">
        <f>VLOOKUP(I1,'אינדקס'!B13:C91,2)</f>
        <v>#N/A</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455</v>
      </c>
      <c r="H10" s="91" t="s">
        <v>424</v>
      </c>
      <c r="I10" s="90" t="s">
        <v>49</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455</v>
      </c>
      <c r="C11" s="93" t="b">
        <v>0</v>
      </c>
      <c r="D11" s="77"/>
      <c r="E11" s="101"/>
      <c r="F11" s="89">
        <f t="shared" si="4"/>
        <v>2</v>
      </c>
      <c r="G11" s="90" t="s">
        <v>455</v>
      </c>
      <c r="H11" s="102" t="s">
        <v>456</v>
      </c>
      <c r="I11" s="90" t="s">
        <v>74</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9"/>
      <c r="C12" s="93" t="b">
        <v>0</v>
      </c>
      <c r="D12" s="77"/>
      <c r="E12" s="101"/>
      <c r="F12" s="89">
        <f t="shared" si="4"/>
        <v>3</v>
      </c>
      <c r="G12" s="90" t="s">
        <v>455</v>
      </c>
      <c r="H12" s="102" t="s">
        <v>347</v>
      </c>
      <c r="I12" s="90" t="s">
        <v>114</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455</v>
      </c>
      <c r="H13" s="102" t="s">
        <v>457</v>
      </c>
      <c r="I13" s="90" t="s">
        <v>49</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455</v>
      </c>
      <c r="H14" s="102" t="s">
        <v>458</v>
      </c>
      <c r="I14" s="90" t="s">
        <v>49</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455</v>
      </c>
      <c r="H15" s="102" t="s">
        <v>398</v>
      </c>
      <c r="I15" s="90" t="s">
        <v>49</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455</v>
      </c>
      <c r="H16" s="102" t="s">
        <v>62</v>
      </c>
      <c r="I16" s="90" t="s">
        <v>49</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455</v>
      </c>
      <c r="H17" s="102" t="s">
        <v>459</v>
      </c>
      <c r="I17" s="90" t="s">
        <v>49</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f t="shared" si="4"/>
        <v>9</v>
      </c>
      <c r="G18" s="90" t="s">
        <v>455</v>
      </c>
      <c r="H18" s="102" t="s">
        <v>460</v>
      </c>
      <c r="I18" s="90" t="s">
        <v>49</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f t="shared" si="4"/>
        <v>10</v>
      </c>
      <c r="G19" s="90" t="s">
        <v>455</v>
      </c>
      <c r="H19" s="102" t="s">
        <v>461</v>
      </c>
      <c r="I19" s="90" t="s">
        <v>49</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f t="shared" si="4"/>
        <v>11</v>
      </c>
      <c r="G20" s="90" t="s">
        <v>455</v>
      </c>
      <c r="H20" s="106" t="s">
        <v>462</v>
      </c>
      <c r="I20" s="90" t="s">
        <v>49</v>
      </c>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f t="shared" si="4"/>
        <v>12</v>
      </c>
      <c r="G21" s="90" t="s">
        <v>455</v>
      </c>
      <c r="H21" s="102" t="s">
        <v>463</v>
      </c>
      <c r="I21" s="90" t="s">
        <v>49</v>
      </c>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f t="shared" si="4"/>
        <v>13</v>
      </c>
      <c r="G22" s="90" t="s">
        <v>455</v>
      </c>
      <c r="H22" s="102" t="s">
        <v>464</v>
      </c>
      <c r="I22" s="90" t="s">
        <v>49</v>
      </c>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f t="shared" si="4"/>
        <v>14</v>
      </c>
      <c r="G23" s="90" t="s">
        <v>455</v>
      </c>
      <c r="H23" s="102" t="s">
        <v>465</v>
      </c>
      <c r="I23" s="90" t="s">
        <v>49</v>
      </c>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F10 G9:G22 H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G10:G100 I10:I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0" t="s">
        <v>52</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466</v>
      </c>
      <c r="H10" s="91" t="s">
        <v>424</v>
      </c>
      <c r="I10" s="90" t="s">
        <v>72</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466</v>
      </c>
      <c r="C11" s="93" t="b">
        <v>0</v>
      </c>
      <c r="D11" s="77"/>
      <c r="E11" s="101"/>
      <c r="F11" s="89" t="str">
        <f t="shared" si="4"/>
        <v/>
      </c>
      <c r="G11" s="92"/>
      <c r="H11" s="102" t="s">
        <v>467</v>
      </c>
      <c r="I11" s="90" t="s">
        <v>72</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9"/>
      <c r="C12" s="93" t="b">
        <v>0</v>
      </c>
      <c r="D12" s="77"/>
      <c r="E12" s="101"/>
      <c r="F12" s="89" t="str">
        <f t="shared" si="4"/>
        <v/>
      </c>
      <c r="G12" s="92"/>
      <c r="H12" s="102" t="s">
        <v>468</v>
      </c>
      <c r="I12" s="90" t="s">
        <v>72</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t="str">
        <f t="shared" si="4"/>
        <v/>
      </c>
      <c r="G13" s="92"/>
      <c r="H13" s="102" t="s">
        <v>469</v>
      </c>
      <c r="I13" s="90" t="s">
        <v>72</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t="str">
        <f t="shared" si="4"/>
        <v/>
      </c>
      <c r="G14" s="92"/>
      <c r="H14" s="102" t="s">
        <v>470</v>
      </c>
      <c r="I14" s="90" t="s">
        <v>60</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t="str">
        <f t="shared" si="4"/>
        <v/>
      </c>
      <c r="G15" s="92"/>
      <c r="H15" s="102" t="s">
        <v>405</v>
      </c>
      <c r="I15" s="90" t="s">
        <v>70</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t="str">
        <f t="shared" si="4"/>
        <v/>
      </c>
      <c r="G16" s="92"/>
      <c r="H16" s="102" t="s">
        <v>471</v>
      </c>
      <c r="I16" s="90" t="s">
        <v>114</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t="str">
        <f t="shared" si="4"/>
        <v/>
      </c>
      <c r="G17" s="92"/>
      <c r="H17" s="102" t="s">
        <v>472</v>
      </c>
      <c r="I17" s="90" t="s">
        <v>49</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2"/>
      <c r="H18" s="102" t="s">
        <v>473</v>
      </c>
      <c r="I18" s="90" t="s">
        <v>49</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2" t="s">
        <v>474</v>
      </c>
      <c r="I19" s="90" t="s">
        <v>49</v>
      </c>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H10 I9:I13 J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W10:W100 Y10:Y100 G10:G100 I10:I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415</v>
      </c>
      <c r="H10" s="91" t="s">
        <v>418</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415</v>
      </c>
      <c r="C11" s="93" t="b">
        <v>0</v>
      </c>
      <c r="D11" s="77"/>
      <c r="E11" s="101"/>
      <c r="F11" s="89">
        <f t="shared" si="4"/>
        <v>2</v>
      </c>
      <c r="G11" s="90" t="s">
        <v>415</v>
      </c>
      <c r="H11" s="102" t="s">
        <v>475</v>
      </c>
      <c r="I11" s="90" t="s">
        <v>49</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c r="C12" s="93" t="b">
        <v>0</v>
      </c>
      <c r="D12" s="77"/>
      <c r="E12" s="101"/>
      <c r="F12" s="89">
        <f t="shared" si="4"/>
        <v>3</v>
      </c>
      <c r="G12" s="90" t="s">
        <v>415</v>
      </c>
      <c r="H12" s="102" t="s">
        <v>419</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f t="shared" si="4"/>
        <v>4</v>
      </c>
      <c r="G13" s="90" t="s">
        <v>415</v>
      </c>
      <c r="H13" s="102" t="s">
        <v>420</v>
      </c>
      <c r="I13" s="90" t="s">
        <v>278</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f t="shared" si="4"/>
        <v>5</v>
      </c>
      <c r="G14" s="90" t="s">
        <v>415</v>
      </c>
      <c r="H14" s="102" t="s">
        <v>476</v>
      </c>
      <c r="I14" s="90" t="s">
        <v>70</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f t="shared" si="4"/>
        <v>6</v>
      </c>
      <c r="G15" s="90" t="s">
        <v>415</v>
      </c>
      <c r="H15" s="106" t="s">
        <v>422</v>
      </c>
      <c r="I15" s="90" t="s">
        <v>74</v>
      </c>
      <c r="J15" s="93" t="b">
        <v>1</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415</v>
      </c>
      <c r="H16" s="102" t="s">
        <v>477</v>
      </c>
      <c r="I16" s="90" t="s">
        <v>70</v>
      </c>
      <c r="J16" s="93"/>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f t="shared" si="4"/>
        <v>8</v>
      </c>
      <c r="G17" s="90" t="s">
        <v>415</v>
      </c>
      <c r="H17" s="102" t="s">
        <v>478</v>
      </c>
      <c r="I17" s="90" t="s">
        <v>49</v>
      </c>
      <c r="J17" s="93"/>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0"/>
      <c r="H18" s="102"/>
      <c r="I18" s="90"/>
      <c r="J18" s="93"/>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0"/>
      <c r="H19" s="102"/>
      <c r="I19" s="90"/>
      <c r="J19" s="93"/>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AC10:AD100 W10:W100 Y10:Y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479</v>
      </c>
      <c r="H10" s="91" t="s">
        <v>480</v>
      </c>
      <c r="I10" s="92"/>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479</v>
      </c>
      <c r="C11" s="93" t="b">
        <v>0</v>
      </c>
      <c r="D11" s="77"/>
      <c r="E11" s="101"/>
      <c r="F11" s="89" t="str">
        <f t="shared" si="4"/>
        <v/>
      </c>
      <c r="G11" s="92"/>
      <c r="H11" s="102" t="s">
        <v>427</v>
      </c>
      <c r="I11" s="92"/>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481</v>
      </c>
      <c r="C12" s="93" t="b">
        <v>1</v>
      </c>
      <c r="D12" s="77"/>
      <c r="E12" s="101"/>
      <c r="F12" s="89" t="str">
        <f t="shared" si="4"/>
        <v/>
      </c>
      <c r="G12" s="92"/>
      <c r="H12" s="102" t="s">
        <v>482</v>
      </c>
      <c r="I12" s="92"/>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t="str">
        <f t="shared" si="4"/>
        <v/>
      </c>
      <c r="G13" s="92"/>
      <c r="H13" s="102" t="s">
        <v>483</v>
      </c>
      <c r="I13" s="92"/>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t="str">
        <f t="shared" si="4"/>
        <v/>
      </c>
      <c r="G14" s="92"/>
      <c r="H14" s="102" t="s">
        <v>433</v>
      </c>
      <c r="I14" s="92"/>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t="str">
        <f t="shared" si="4"/>
        <v/>
      </c>
      <c r="G15" s="92"/>
      <c r="H15" s="102" t="s">
        <v>484</v>
      </c>
      <c r="I15" s="92"/>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f t="shared" si="4"/>
        <v>7</v>
      </c>
      <c r="G16" s="90" t="s">
        <v>481</v>
      </c>
      <c r="H16" s="103"/>
      <c r="I16" s="92"/>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t="str">
        <f t="shared" si="4"/>
        <v/>
      </c>
      <c r="G17" s="92"/>
      <c r="H17" s="103"/>
      <c r="I17" s="92"/>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2"/>
      <c r="H18" s="103"/>
      <c r="I18" s="92"/>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3"/>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W10:W100 Y10:Y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7.43"/>
    <col customWidth="1" min="2" max="2" width="48.57"/>
    <col customWidth="1" min="3" max="3" width="5.57"/>
    <col customWidth="1" min="4" max="4" width="5.29"/>
    <col customWidth="1" min="5" max="5" width="35.0"/>
    <col customWidth="1" min="6" max="6" width="5.0"/>
    <col customWidth="1" min="7" max="7" width="27.43"/>
    <col customWidth="1" min="8" max="8" width="23.29"/>
    <col customWidth="1" min="9" max="9" width="17.29"/>
    <col customWidth="1" min="10" max="10" width="11.29"/>
    <col customWidth="1" min="11" max="11" width="24.0"/>
    <col customWidth="1" min="12" max="12" width="22.0"/>
    <col customWidth="1" min="13" max="14" width="25.86"/>
    <col customWidth="1" min="15" max="19" width="25.14"/>
    <col customWidth="1" min="20" max="20" width="5.0"/>
    <col customWidth="1" min="21" max="21" width="22.0"/>
    <col customWidth="1" min="22" max="22" width="18.43"/>
    <col customWidth="1" min="23" max="23" width="20.0"/>
    <col customWidth="1" min="24" max="24" width="24.0"/>
    <col customWidth="1" min="25" max="25" width="21.14"/>
    <col customWidth="1" min="26" max="26" width="18.0"/>
    <col customWidth="1" min="27" max="28" width="16.0"/>
    <col customWidth="1" min="29" max="29" width="20.0"/>
    <col customWidth="1" min="30" max="30" width="22.0"/>
    <col customWidth="1" min="31" max="31" width="44.57"/>
    <col customWidth="1" min="32" max="32" width="51.43"/>
    <col customWidth="1" min="33" max="33" width="22.0"/>
    <col customWidth="1" min="34" max="37" width="8.71"/>
  </cols>
  <sheetData>
    <row r="1" ht="39.75" customHeight="1">
      <c r="E1" s="2"/>
      <c r="F1" s="3"/>
      <c r="G1" s="6" t="s">
        <v>0</v>
      </c>
      <c r="H1" s="8" t="s">
        <v>1</v>
      </c>
      <c r="I1" s="11" t="s">
        <v>4</v>
      </c>
      <c r="J1" s="12" t="str">
        <f>VLOOKUP(I1,'אינדקס'!B13:C91,2)</f>
        <v>פתח גיליון</v>
      </c>
      <c r="K1" s="13"/>
      <c r="L1" s="16" t="s">
        <v>7</v>
      </c>
      <c r="M1" s="17"/>
      <c r="N1" s="17"/>
      <c r="O1" s="18"/>
      <c r="P1" s="18"/>
      <c r="Q1" s="18"/>
      <c r="R1" s="18"/>
      <c r="S1" s="18"/>
      <c r="T1" s="18"/>
      <c r="U1" s="16" t="s">
        <v>8</v>
      </c>
      <c r="V1" s="3"/>
      <c r="W1" s="6" t="s">
        <v>0</v>
      </c>
      <c r="X1" s="8" t="s">
        <v>1</v>
      </c>
      <c r="Y1" s="11" t="s">
        <v>9</v>
      </c>
      <c r="Z1" s="20" t="str">
        <f>VLOOKUP(Y1,'אינדקס'!B13:C91,2)</f>
        <v>פתח גיליון</v>
      </c>
      <c r="AA1" s="21"/>
      <c r="AB1" s="23"/>
      <c r="AC1" s="24"/>
    </row>
    <row r="2" ht="21.75" customHeight="1">
      <c r="E2" s="26"/>
      <c r="F2" s="27" t="str">
        <f>CONCATENATE("🎯 מטרות-העל: ", 'אינדקס'!$B$5)</f>
        <v>🎯 מטרות-העל: https://docs.google.com/open?id=16lBROr6DmzGS3AaRedcxxBk5nYQMegngfhrp90Jz1JQ</v>
      </c>
      <c r="G2" s="28"/>
      <c r="H2" s="28"/>
      <c r="I2" s="28"/>
      <c r="J2" s="28"/>
      <c r="K2" s="28"/>
      <c r="L2" s="29"/>
      <c r="M2" s="17"/>
      <c r="N2" s="17"/>
      <c r="O2" s="30"/>
      <c r="P2" s="18"/>
      <c r="Q2" s="18"/>
      <c r="R2" s="18"/>
      <c r="S2" s="18"/>
      <c r="T2" s="18"/>
      <c r="U2" s="31"/>
      <c r="V2" s="27" t="str">
        <f>CONCATENATE("🎯 מטרות-העל: ", 'אינדקס'!$B$5)</f>
        <v>🎯 מטרות-העל: https://docs.google.com/open?id=16lBROr6DmzGS3AaRedcxxBk5nYQMegngfhrp90Jz1JQ</v>
      </c>
      <c r="W2" s="28"/>
      <c r="X2" s="28"/>
      <c r="Y2" s="28"/>
      <c r="Z2" s="28"/>
      <c r="AA2" s="28"/>
      <c r="AB2" s="28"/>
      <c r="AC2" s="29"/>
    </row>
    <row r="3">
      <c r="E3" s="33"/>
      <c r="F3" s="35"/>
      <c r="G3" s="35"/>
      <c r="H3" s="35"/>
      <c r="I3" s="35"/>
      <c r="J3" s="35"/>
      <c r="K3" s="35"/>
      <c r="L3" s="37"/>
      <c r="U3" s="33"/>
      <c r="V3" s="35"/>
      <c r="W3" s="35"/>
      <c r="X3" s="35"/>
      <c r="Y3" s="35"/>
      <c r="Z3" s="39"/>
      <c r="AA3" s="40"/>
      <c r="AB3" s="40"/>
      <c r="AC3" s="42"/>
    </row>
    <row r="4">
      <c r="E4" s="43"/>
      <c r="F4" s="47" t="str">
        <f t="shared" ref="F4:F7" si="1">IF(G4="","",ROW()-6)</f>
        <v/>
      </c>
      <c r="G4" s="47"/>
      <c r="H4" s="47"/>
      <c r="I4" s="47"/>
      <c r="J4" s="47"/>
      <c r="K4" s="47"/>
      <c r="L4" s="49"/>
      <c r="T4" s="52" t="str">
        <f t="shared" ref="T4:T7" si="2">IF(U4="","",ROW()-6)</f>
        <v/>
      </c>
      <c r="U4" s="43"/>
      <c r="V4" s="47" t="str">
        <f t="shared" ref="V4:V7" si="3">IF(W4="","",ROW()-6)</f>
        <v/>
      </c>
      <c r="W4" s="47"/>
      <c r="X4" s="47"/>
      <c r="Y4" s="47"/>
      <c r="Z4" s="55"/>
      <c r="AA4" s="56"/>
      <c r="AB4" s="56"/>
      <c r="AC4" s="57"/>
    </row>
    <row r="5">
      <c r="E5" s="43"/>
      <c r="F5" s="47" t="str">
        <f t="shared" si="1"/>
        <v/>
      </c>
      <c r="G5" s="47"/>
      <c r="H5" s="47"/>
      <c r="I5" s="47"/>
      <c r="J5" s="47"/>
      <c r="K5" s="47"/>
      <c r="L5" s="49"/>
      <c r="T5" s="52" t="str">
        <f t="shared" si="2"/>
        <v/>
      </c>
      <c r="U5" s="43"/>
      <c r="V5" s="47" t="str">
        <f t="shared" si="3"/>
        <v/>
      </c>
      <c r="W5" s="47"/>
      <c r="X5" s="47"/>
      <c r="Y5" s="47"/>
      <c r="Z5" s="55"/>
      <c r="AA5" s="56"/>
      <c r="AB5" s="56"/>
      <c r="AC5" s="57"/>
    </row>
    <row r="6">
      <c r="E6" s="43"/>
      <c r="F6" s="47" t="str">
        <f t="shared" si="1"/>
        <v/>
      </c>
      <c r="G6" s="47"/>
      <c r="H6" s="47"/>
      <c r="I6" s="47"/>
      <c r="J6" s="47"/>
      <c r="K6" s="47"/>
      <c r="L6" s="49"/>
      <c r="T6" s="52" t="str">
        <f t="shared" si="2"/>
        <v/>
      </c>
      <c r="U6" s="43"/>
      <c r="V6" s="47" t="str">
        <f t="shared" si="3"/>
        <v/>
      </c>
      <c r="W6" s="47"/>
      <c r="X6" s="47"/>
      <c r="Y6" s="47"/>
      <c r="Z6" s="55"/>
      <c r="AA6" s="56"/>
      <c r="AB6" s="56"/>
      <c r="AC6" s="57"/>
    </row>
    <row r="7">
      <c r="E7" s="60"/>
      <c r="F7" s="62" t="str">
        <f t="shared" si="1"/>
        <v/>
      </c>
      <c r="G7" s="62"/>
      <c r="H7" s="62"/>
      <c r="I7" s="62"/>
      <c r="J7" s="62"/>
      <c r="K7" s="62"/>
      <c r="L7" s="63"/>
      <c r="T7" s="52" t="str">
        <f t="shared" si="2"/>
        <v/>
      </c>
      <c r="U7" s="60"/>
      <c r="V7" s="62" t="str">
        <f t="shared" si="3"/>
        <v/>
      </c>
      <c r="W7" s="62"/>
      <c r="X7" s="62"/>
      <c r="Y7" s="62"/>
      <c r="Z7" s="65"/>
      <c r="AA7" s="66"/>
      <c r="AB7" s="66"/>
      <c r="AC7" s="68"/>
    </row>
    <row r="8">
      <c r="E8" s="69"/>
      <c r="F8" s="70"/>
      <c r="G8" s="71"/>
      <c r="H8" s="71"/>
      <c r="I8" s="71"/>
      <c r="J8" s="71"/>
      <c r="K8" s="71"/>
      <c r="L8" s="71"/>
      <c r="T8" s="72"/>
      <c r="U8" s="73"/>
      <c r="V8" s="73"/>
      <c r="W8" s="73"/>
      <c r="X8" s="73"/>
      <c r="Y8" s="73"/>
      <c r="Z8" s="74"/>
      <c r="AA8" s="75"/>
      <c r="AB8" s="75"/>
      <c r="AC8" s="76"/>
    </row>
    <row r="9" ht="26.25" customHeight="1">
      <c r="B9" s="77"/>
      <c r="C9" s="77"/>
      <c r="D9" s="77"/>
      <c r="E9" s="78"/>
      <c r="F9" s="79" t="s">
        <v>17</v>
      </c>
      <c r="G9" s="81" t="s">
        <v>21</v>
      </c>
      <c r="H9" s="82" t="s">
        <v>22</v>
      </c>
      <c r="I9" s="81" t="s">
        <v>23</v>
      </c>
      <c r="J9" s="81" t="s">
        <v>24</v>
      </c>
      <c r="K9" s="81" t="s">
        <v>25</v>
      </c>
      <c r="L9" s="81" t="s">
        <v>26</v>
      </c>
      <c r="M9" s="84" t="s">
        <v>28</v>
      </c>
      <c r="N9" s="84" t="s">
        <v>29</v>
      </c>
      <c r="O9" s="77"/>
      <c r="P9" s="77"/>
      <c r="Q9" s="77"/>
      <c r="R9" s="77"/>
      <c r="S9" s="77"/>
      <c r="T9" s="79" t="s">
        <v>17</v>
      </c>
      <c r="U9" s="81" t="s">
        <v>33</v>
      </c>
      <c r="V9" s="81" t="s">
        <v>34</v>
      </c>
      <c r="W9" s="81" t="s">
        <v>35</v>
      </c>
      <c r="X9" s="81" t="s">
        <v>36</v>
      </c>
      <c r="Y9" s="81" t="s">
        <v>38</v>
      </c>
      <c r="Z9" s="81" t="s">
        <v>26</v>
      </c>
      <c r="AA9" s="85"/>
      <c r="AB9" s="85"/>
      <c r="AC9" s="86" t="s">
        <v>39</v>
      </c>
      <c r="AD9" s="86" t="s">
        <v>40</v>
      </c>
      <c r="AE9" s="86" t="s">
        <v>41</v>
      </c>
      <c r="AF9" s="86" t="s">
        <v>42</v>
      </c>
    </row>
    <row r="10" ht="26.25" customHeight="1">
      <c r="B10" s="86" t="s">
        <v>44</v>
      </c>
      <c r="C10" s="86" t="s">
        <v>45</v>
      </c>
      <c r="D10" s="77"/>
      <c r="E10" s="88"/>
      <c r="F10" s="89">
        <f t="shared" ref="F10:F69" si="4">IF(G10="","",ROW()-9)</f>
        <v>1</v>
      </c>
      <c r="G10" s="90" t="s">
        <v>383</v>
      </c>
      <c r="H10" s="91" t="s">
        <v>485</v>
      </c>
      <c r="I10" s="90" t="s">
        <v>60</v>
      </c>
      <c r="J10" s="93" t="b">
        <v>0</v>
      </c>
      <c r="K10" s="89"/>
      <c r="L10" s="89"/>
      <c r="M10" s="96"/>
      <c r="N10" s="96"/>
      <c r="O10" s="95"/>
      <c r="P10" s="95"/>
      <c r="Q10" s="95"/>
      <c r="R10" s="95"/>
      <c r="S10" s="95"/>
      <c r="T10" s="89" t="str">
        <f t="shared" ref="T10:T198" si="5">IF(U10="","",ROW()-6)</f>
        <v/>
      </c>
      <c r="U10" s="89"/>
      <c r="V10" s="92"/>
      <c r="W10" s="92"/>
      <c r="X10" s="89"/>
      <c r="Y10" s="92"/>
      <c r="Z10" s="89"/>
      <c r="AA10" s="97"/>
      <c r="AB10" s="97"/>
      <c r="AC10" s="98"/>
      <c r="AD10" s="92"/>
      <c r="AE10" s="99"/>
      <c r="AF10" s="99"/>
    </row>
    <row r="11" ht="26.25" customHeight="1">
      <c r="B11" s="91" t="s">
        <v>383</v>
      </c>
      <c r="C11" s="93" t="b">
        <v>0</v>
      </c>
      <c r="D11" s="77"/>
      <c r="E11" s="101"/>
      <c r="F11" s="89" t="str">
        <f t="shared" si="4"/>
        <v/>
      </c>
      <c r="G11" s="92"/>
      <c r="H11" s="102" t="s">
        <v>486</v>
      </c>
      <c r="I11" s="90" t="s">
        <v>60</v>
      </c>
      <c r="J11" s="93" t="b">
        <v>0</v>
      </c>
      <c r="K11" s="89"/>
      <c r="L11" s="89"/>
      <c r="M11" s="96"/>
      <c r="N11" s="96"/>
      <c r="O11" s="95"/>
      <c r="P11" s="95"/>
      <c r="Q11" s="95"/>
      <c r="R11" s="95"/>
      <c r="S11" s="95"/>
      <c r="T11" s="89" t="str">
        <f t="shared" si="5"/>
        <v/>
      </c>
      <c r="U11" s="89"/>
      <c r="V11" s="92"/>
      <c r="W11" s="92"/>
      <c r="X11" s="89"/>
      <c r="Y11" s="92"/>
      <c r="Z11" s="89"/>
      <c r="AA11" s="104"/>
      <c r="AB11" s="104"/>
      <c r="AC11" s="92"/>
      <c r="AD11" s="92"/>
      <c r="AE11" s="99"/>
      <c r="AF11" s="99"/>
    </row>
    <row r="12" ht="26.25" customHeight="1">
      <c r="B12" s="91" t="s">
        <v>388</v>
      </c>
      <c r="C12" s="93" t="b">
        <v>0</v>
      </c>
      <c r="D12" s="77"/>
      <c r="E12" s="101"/>
      <c r="F12" s="89" t="str">
        <f t="shared" si="4"/>
        <v/>
      </c>
      <c r="G12" s="92"/>
      <c r="H12" s="102" t="s">
        <v>487</v>
      </c>
      <c r="I12" s="90" t="s">
        <v>49</v>
      </c>
      <c r="J12" s="93" t="b">
        <v>0</v>
      </c>
      <c r="K12" s="89"/>
      <c r="L12" s="89"/>
      <c r="M12" s="96"/>
      <c r="N12" s="96"/>
      <c r="O12" s="95"/>
      <c r="P12" s="95"/>
      <c r="Q12" s="95"/>
      <c r="R12" s="95"/>
      <c r="S12" s="95"/>
      <c r="T12" s="89" t="str">
        <f t="shared" si="5"/>
        <v/>
      </c>
      <c r="U12" s="89"/>
      <c r="V12" s="92"/>
      <c r="W12" s="92"/>
      <c r="X12" s="89"/>
      <c r="Y12" s="92"/>
      <c r="Z12" s="89"/>
      <c r="AA12" s="104"/>
      <c r="AB12" s="104"/>
      <c r="AC12" s="92"/>
      <c r="AD12" s="92"/>
      <c r="AE12" s="99"/>
      <c r="AF12" s="99"/>
    </row>
    <row r="13" ht="26.25" customHeight="1">
      <c r="B13" s="99"/>
      <c r="C13" s="93" t="b">
        <v>0</v>
      </c>
      <c r="D13" s="77"/>
      <c r="E13" s="101"/>
      <c r="F13" s="89" t="str">
        <f t="shared" si="4"/>
        <v/>
      </c>
      <c r="G13" s="92"/>
      <c r="H13" s="102" t="s">
        <v>488</v>
      </c>
      <c r="I13" s="90" t="s">
        <v>74</v>
      </c>
      <c r="J13" s="93" t="b">
        <v>0</v>
      </c>
      <c r="K13" s="89"/>
      <c r="L13" s="89"/>
      <c r="M13" s="96"/>
      <c r="N13" s="96"/>
      <c r="O13" s="95"/>
      <c r="P13" s="95"/>
      <c r="Q13" s="95"/>
      <c r="R13" s="95"/>
      <c r="S13" s="95"/>
      <c r="T13" s="89" t="str">
        <f t="shared" si="5"/>
        <v/>
      </c>
      <c r="U13" s="89"/>
      <c r="V13" s="92"/>
      <c r="W13" s="92"/>
      <c r="X13" s="89"/>
      <c r="Y13" s="92"/>
      <c r="Z13" s="89"/>
      <c r="AA13" s="104"/>
      <c r="AB13" s="104"/>
      <c r="AC13" s="92"/>
      <c r="AD13" s="92"/>
      <c r="AE13" s="99"/>
      <c r="AF13" s="99"/>
    </row>
    <row r="14" ht="26.25" customHeight="1">
      <c r="B14" s="99"/>
      <c r="C14" s="93" t="b">
        <v>0</v>
      </c>
      <c r="D14" s="77"/>
      <c r="E14" s="101"/>
      <c r="F14" s="89" t="str">
        <f t="shared" si="4"/>
        <v/>
      </c>
      <c r="G14" s="92"/>
      <c r="H14" s="102" t="s">
        <v>489</v>
      </c>
      <c r="I14" s="90" t="s">
        <v>114</v>
      </c>
      <c r="J14" s="93" t="b">
        <v>0</v>
      </c>
      <c r="K14" s="89"/>
      <c r="L14" s="89"/>
      <c r="M14" s="96"/>
      <c r="N14" s="96"/>
      <c r="O14" s="95"/>
      <c r="P14" s="95"/>
      <c r="Q14" s="95"/>
      <c r="R14" s="95"/>
      <c r="S14" s="95"/>
      <c r="T14" s="89" t="str">
        <f t="shared" si="5"/>
        <v/>
      </c>
      <c r="U14" s="89"/>
      <c r="V14" s="92"/>
      <c r="W14" s="92"/>
      <c r="X14" s="89"/>
      <c r="Y14" s="92"/>
      <c r="Z14" s="89"/>
      <c r="AA14" s="104"/>
      <c r="AB14" s="104"/>
      <c r="AC14" s="92"/>
      <c r="AD14" s="92"/>
      <c r="AE14" s="99"/>
      <c r="AF14" s="99"/>
    </row>
    <row r="15" ht="26.25" customHeight="1">
      <c r="B15" s="99"/>
      <c r="C15" s="93" t="b">
        <v>0</v>
      </c>
      <c r="D15" s="77"/>
      <c r="E15" s="101"/>
      <c r="F15" s="89" t="str">
        <f t="shared" si="4"/>
        <v/>
      </c>
      <c r="G15" s="92"/>
      <c r="H15" s="102" t="s">
        <v>490</v>
      </c>
      <c r="I15" s="90" t="s">
        <v>114</v>
      </c>
      <c r="J15" s="93" t="b">
        <v>0</v>
      </c>
      <c r="K15" s="89"/>
      <c r="L15" s="89"/>
      <c r="M15" s="96"/>
      <c r="N15" s="96"/>
      <c r="O15" s="95"/>
      <c r="P15" s="95"/>
      <c r="Q15" s="95"/>
      <c r="R15" s="95"/>
      <c r="S15" s="95"/>
      <c r="T15" s="89" t="str">
        <f t="shared" si="5"/>
        <v/>
      </c>
      <c r="U15" s="89"/>
      <c r="V15" s="92"/>
      <c r="W15" s="92"/>
      <c r="X15" s="89"/>
      <c r="Y15" s="92"/>
      <c r="Z15" s="89"/>
      <c r="AA15" s="104"/>
      <c r="AB15" s="104"/>
      <c r="AC15" s="92"/>
      <c r="AD15" s="92"/>
      <c r="AE15" s="99"/>
      <c r="AF15" s="99"/>
    </row>
    <row r="16" ht="26.25" customHeight="1">
      <c r="B16" s="99"/>
      <c r="C16" s="93" t="b">
        <v>0</v>
      </c>
      <c r="D16" s="77"/>
      <c r="E16" s="101"/>
      <c r="F16" s="89" t="str">
        <f t="shared" si="4"/>
        <v/>
      </c>
      <c r="G16" s="92"/>
      <c r="H16" s="102" t="s">
        <v>405</v>
      </c>
      <c r="I16" s="90" t="s">
        <v>70</v>
      </c>
      <c r="J16" s="93" t="b">
        <v>0</v>
      </c>
      <c r="K16" s="89"/>
      <c r="L16" s="89"/>
      <c r="M16" s="96"/>
      <c r="N16" s="96"/>
      <c r="O16" s="95"/>
      <c r="P16" s="95"/>
      <c r="Q16" s="95"/>
      <c r="R16" s="95"/>
      <c r="S16" s="95"/>
      <c r="T16" s="89" t="str">
        <f t="shared" si="5"/>
        <v/>
      </c>
      <c r="U16" s="89"/>
      <c r="V16" s="92"/>
      <c r="W16" s="92"/>
      <c r="X16" s="89"/>
      <c r="Y16" s="92"/>
      <c r="Z16" s="89"/>
      <c r="AA16" s="104"/>
      <c r="AB16" s="104"/>
      <c r="AC16" s="92"/>
      <c r="AD16" s="92"/>
      <c r="AE16" s="99"/>
      <c r="AF16" s="99"/>
    </row>
    <row r="17" ht="26.25" customHeight="1">
      <c r="B17" s="99"/>
      <c r="C17" s="93" t="b">
        <v>0</v>
      </c>
      <c r="D17" s="77"/>
      <c r="E17" s="101"/>
      <c r="F17" s="89" t="str">
        <f t="shared" si="4"/>
        <v/>
      </c>
      <c r="G17" s="92"/>
      <c r="H17" s="102" t="s">
        <v>491</v>
      </c>
      <c r="I17" s="90" t="s">
        <v>49</v>
      </c>
      <c r="J17" s="93" t="b">
        <v>0</v>
      </c>
      <c r="K17" s="89"/>
      <c r="L17" s="89"/>
      <c r="M17" s="96"/>
      <c r="N17" s="96"/>
      <c r="O17" s="95"/>
      <c r="P17" s="95"/>
      <c r="Q17" s="95"/>
      <c r="R17" s="95"/>
      <c r="S17" s="95"/>
      <c r="T17" s="89" t="str">
        <f t="shared" si="5"/>
        <v/>
      </c>
      <c r="U17" s="89"/>
      <c r="V17" s="92"/>
      <c r="W17" s="92"/>
      <c r="X17" s="89"/>
      <c r="Y17" s="92"/>
      <c r="Z17" s="89"/>
      <c r="AA17" s="104"/>
      <c r="AB17" s="104"/>
      <c r="AC17" s="92"/>
      <c r="AD17" s="92"/>
      <c r="AE17" s="99"/>
      <c r="AF17" s="99"/>
    </row>
    <row r="18" ht="26.25" customHeight="1">
      <c r="B18" s="99"/>
      <c r="C18" s="93" t="b">
        <v>0</v>
      </c>
      <c r="D18" s="77"/>
      <c r="E18" s="101"/>
      <c r="F18" s="89" t="str">
        <f t="shared" si="4"/>
        <v/>
      </c>
      <c r="G18" s="92"/>
      <c r="H18" s="102" t="s">
        <v>492</v>
      </c>
      <c r="I18" s="90" t="s">
        <v>108</v>
      </c>
      <c r="J18" s="93" t="b">
        <v>0</v>
      </c>
      <c r="K18" s="89"/>
      <c r="L18" s="89"/>
      <c r="M18" s="96"/>
      <c r="N18" s="96"/>
      <c r="O18" s="95"/>
      <c r="P18" s="95"/>
      <c r="Q18" s="95"/>
      <c r="R18" s="95"/>
      <c r="S18" s="95"/>
      <c r="T18" s="89" t="str">
        <f t="shared" si="5"/>
        <v/>
      </c>
      <c r="U18" s="89"/>
      <c r="V18" s="92"/>
      <c r="W18" s="92"/>
      <c r="X18" s="89"/>
      <c r="Y18" s="92"/>
      <c r="Z18" s="89"/>
      <c r="AA18" s="104"/>
      <c r="AB18" s="104"/>
      <c r="AC18" s="92"/>
      <c r="AD18" s="92"/>
      <c r="AE18" s="99"/>
      <c r="AF18" s="99"/>
    </row>
    <row r="19" ht="26.25" customHeight="1">
      <c r="B19" s="99"/>
      <c r="C19" s="93" t="b">
        <v>0</v>
      </c>
      <c r="D19" s="77"/>
      <c r="E19" s="101"/>
      <c r="F19" s="89" t="str">
        <f t="shared" si="4"/>
        <v/>
      </c>
      <c r="G19" s="92"/>
      <c r="H19" s="103"/>
      <c r="I19" s="92"/>
      <c r="J19" s="93" t="b">
        <v>0</v>
      </c>
      <c r="K19" s="89"/>
      <c r="L19" s="89"/>
      <c r="M19" s="96"/>
      <c r="N19" s="96"/>
      <c r="O19" s="95"/>
      <c r="P19" s="95"/>
      <c r="Q19" s="95"/>
      <c r="R19" s="95"/>
      <c r="S19" s="95"/>
      <c r="T19" s="89" t="str">
        <f t="shared" si="5"/>
        <v/>
      </c>
      <c r="U19" s="89"/>
      <c r="V19" s="92"/>
      <c r="W19" s="92"/>
      <c r="X19" s="89"/>
      <c r="Y19" s="92"/>
      <c r="Z19" s="89"/>
      <c r="AA19" s="104"/>
      <c r="AB19" s="104"/>
      <c r="AC19" s="92"/>
      <c r="AD19" s="92"/>
      <c r="AE19" s="99"/>
      <c r="AF19" s="99"/>
    </row>
    <row r="20" ht="26.25" customHeight="1">
      <c r="B20" s="99"/>
      <c r="C20" s="93" t="b">
        <v>0</v>
      </c>
      <c r="D20" s="77"/>
      <c r="E20" s="101"/>
      <c r="F20" s="89" t="str">
        <f t="shared" si="4"/>
        <v/>
      </c>
      <c r="G20" s="92"/>
      <c r="H20" s="106"/>
      <c r="I20" s="92"/>
      <c r="J20" s="93" t="b">
        <v>0</v>
      </c>
      <c r="K20" s="89"/>
      <c r="L20" s="89"/>
      <c r="M20" s="96"/>
      <c r="N20" s="96"/>
      <c r="O20" s="95"/>
      <c r="P20" s="95"/>
      <c r="Q20" s="95"/>
      <c r="R20" s="95"/>
      <c r="S20" s="95"/>
      <c r="T20" s="89" t="str">
        <f t="shared" si="5"/>
        <v/>
      </c>
      <c r="U20" s="89"/>
      <c r="V20" s="92"/>
      <c r="W20" s="92"/>
      <c r="X20" s="89"/>
      <c r="Y20" s="92"/>
      <c r="Z20" s="89"/>
      <c r="AA20" s="104"/>
      <c r="AB20" s="104"/>
      <c r="AC20" s="92"/>
      <c r="AD20" s="92"/>
      <c r="AE20" s="99"/>
      <c r="AF20" s="99"/>
    </row>
    <row r="21" ht="26.25" customHeight="1">
      <c r="B21" s="99"/>
      <c r="C21" s="93" t="b">
        <v>0</v>
      </c>
      <c r="D21" s="77"/>
      <c r="E21" s="101"/>
      <c r="F21" s="89" t="str">
        <f t="shared" si="4"/>
        <v/>
      </c>
      <c r="G21" s="92"/>
      <c r="H21" s="103"/>
      <c r="I21" s="92"/>
      <c r="J21" s="93" t="b">
        <v>0</v>
      </c>
      <c r="K21" s="89"/>
      <c r="L21" s="89"/>
      <c r="M21" s="96"/>
      <c r="N21" s="96"/>
      <c r="O21" s="95"/>
      <c r="P21" s="95"/>
      <c r="Q21" s="95"/>
      <c r="R21" s="95"/>
      <c r="S21" s="95"/>
      <c r="T21" s="89" t="str">
        <f t="shared" si="5"/>
        <v/>
      </c>
      <c r="U21" s="89"/>
      <c r="V21" s="92"/>
      <c r="W21" s="92"/>
      <c r="X21" s="89"/>
      <c r="Y21" s="92"/>
      <c r="Z21" s="89"/>
      <c r="AA21" s="104"/>
      <c r="AB21" s="104"/>
      <c r="AC21" s="92"/>
      <c r="AD21" s="92"/>
      <c r="AE21" s="99"/>
      <c r="AF21" s="99"/>
    </row>
    <row r="22" ht="26.25" customHeight="1">
      <c r="B22" s="99"/>
      <c r="C22" s="93" t="b">
        <v>0</v>
      </c>
      <c r="D22" s="77"/>
      <c r="E22" s="101"/>
      <c r="F22" s="89" t="str">
        <f t="shared" si="4"/>
        <v/>
      </c>
      <c r="G22" s="92"/>
      <c r="H22" s="103"/>
      <c r="I22" s="92"/>
      <c r="J22" s="93" t="b">
        <v>0</v>
      </c>
      <c r="K22" s="89"/>
      <c r="L22" s="89"/>
      <c r="M22" s="96"/>
      <c r="N22" s="96"/>
      <c r="O22" s="95"/>
      <c r="P22" s="95"/>
      <c r="Q22" s="95"/>
      <c r="R22" s="95"/>
      <c r="S22" s="95"/>
      <c r="T22" s="89" t="str">
        <f t="shared" si="5"/>
        <v/>
      </c>
      <c r="U22" s="89"/>
      <c r="V22" s="92"/>
      <c r="W22" s="92"/>
      <c r="X22" s="89"/>
      <c r="Y22" s="92"/>
      <c r="Z22" s="89"/>
      <c r="AA22" s="104"/>
      <c r="AB22" s="104"/>
      <c r="AC22" s="92"/>
      <c r="AD22" s="92"/>
      <c r="AE22" s="99"/>
      <c r="AF22" s="99"/>
    </row>
    <row r="23" ht="26.25" customHeight="1">
      <c r="B23" s="99"/>
      <c r="C23" s="93" t="b">
        <v>0</v>
      </c>
      <c r="D23" s="77"/>
      <c r="E23" s="101"/>
      <c r="F23" s="89" t="str">
        <f t="shared" si="4"/>
        <v/>
      </c>
      <c r="G23" s="92"/>
      <c r="H23" s="103"/>
      <c r="I23" s="92"/>
      <c r="J23" s="93" t="b">
        <v>0</v>
      </c>
      <c r="K23" s="89"/>
      <c r="L23" s="89"/>
      <c r="M23" s="96"/>
      <c r="N23" s="96"/>
      <c r="O23" s="95"/>
      <c r="P23" s="95"/>
      <c r="Q23" s="95"/>
      <c r="R23" s="95"/>
      <c r="S23" s="95"/>
      <c r="T23" s="89" t="str">
        <f t="shared" si="5"/>
        <v/>
      </c>
      <c r="U23" s="89"/>
      <c r="V23" s="92"/>
      <c r="W23" s="92"/>
      <c r="X23" s="89"/>
      <c r="Y23" s="92"/>
      <c r="Z23" s="89"/>
      <c r="AA23" s="104"/>
      <c r="AB23" s="104"/>
      <c r="AC23" s="92"/>
      <c r="AD23" s="92"/>
      <c r="AE23" s="99"/>
      <c r="AF23" s="99"/>
    </row>
    <row r="24" ht="26.25" customHeight="1">
      <c r="B24" s="99"/>
      <c r="C24" s="93" t="b">
        <v>0</v>
      </c>
      <c r="D24" s="77"/>
      <c r="E24" s="101"/>
      <c r="F24" s="89" t="str">
        <f t="shared" si="4"/>
        <v/>
      </c>
      <c r="G24" s="92"/>
      <c r="H24" s="103"/>
      <c r="I24" s="92"/>
      <c r="J24" s="93" t="b">
        <v>0</v>
      </c>
      <c r="K24" s="89"/>
      <c r="L24" s="89"/>
      <c r="M24" s="96"/>
      <c r="N24" s="96"/>
      <c r="O24" s="95"/>
      <c r="P24" s="95"/>
      <c r="Q24" s="95"/>
      <c r="R24" s="95"/>
      <c r="S24" s="95"/>
      <c r="T24" s="89" t="str">
        <f t="shared" si="5"/>
        <v/>
      </c>
      <c r="U24" s="89"/>
      <c r="V24" s="92"/>
      <c r="W24" s="92"/>
      <c r="X24" s="89"/>
      <c r="Y24" s="92"/>
      <c r="Z24" s="89"/>
      <c r="AA24" s="104"/>
      <c r="AB24" s="104"/>
      <c r="AC24" s="92"/>
      <c r="AD24" s="92"/>
      <c r="AE24" s="99"/>
      <c r="AF24" s="99"/>
    </row>
    <row r="25" ht="26.25" customHeight="1">
      <c r="B25" s="99"/>
      <c r="C25" s="93" t="b">
        <v>0</v>
      </c>
      <c r="D25" s="77"/>
      <c r="E25" s="101"/>
      <c r="F25" s="89" t="str">
        <f t="shared" si="4"/>
        <v/>
      </c>
      <c r="G25" s="92"/>
      <c r="H25" s="103"/>
      <c r="I25" s="92"/>
      <c r="J25" s="93" t="b">
        <v>0</v>
      </c>
      <c r="K25" s="89"/>
      <c r="L25" s="89"/>
      <c r="M25" s="96"/>
      <c r="N25" s="96"/>
      <c r="O25" s="95"/>
      <c r="P25" s="95"/>
      <c r="Q25" s="95"/>
      <c r="R25" s="95"/>
      <c r="S25" s="95"/>
      <c r="T25" s="89" t="str">
        <f t="shared" si="5"/>
        <v/>
      </c>
      <c r="U25" s="89"/>
      <c r="V25" s="92"/>
      <c r="W25" s="92"/>
      <c r="X25" s="89"/>
      <c r="Y25" s="92"/>
      <c r="Z25" s="89"/>
      <c r="AA25" s="104"/>
      <c r="AB25" s="104"/>
      <c r="AC25" s="92"/>
      <c r="AD25" s="92"/>
      <c r="AE25" s="99"/>
      <c r="AF25" s="99"/>
    </row>
    <row r="26" ht="26.25" customHeight="1">
      <c r="B26" s="99"/>
      <c r="C26" s="93" t="b">
        <v>0</v>
      </c>
      <c r="D26" s="77"/>
      <c r="E26" s="101"/>
      <c r="F26" s="89" t="str">
        <f t="shared" si="4"/>
        <v/>
      </c>
      <c r="G26" s="92"/>
      <c r="H26" s="103"/>
      <c r="I26" s="92"/>
      <c r="J26" s="93" t="b">
        <v>0</v>
      </c>
      <c r="K26" s="89"/>
      <c r="L26" s="89"/>
      <c r="M26" s="96"/>
      <c r="N26" s="96"/>
      <c r="O26" s="95"/>
      <c r="P26" s="95"/>
      <c r="Q26" s="95"/>
      <c r="R26" s="95"/>
      <c r="S26" s="95"/>
      <c r="T26" s="89" t="str">
        <f t="shared" si="5"/>
        <v/>
      </c>
      <c r="U26" s="89"/>
      <c r="V26" s="92"/>
      <c r="W26" s="92"/>
      <c r="X26" s="89"/>
      <c r="Y26" s="92"/>
      <c r="Z26" s="89"/>
      <c r="AA26" s="104"/>
      <c r="AB26" s="104"/>
      <c r="AC26" s="92"/>
      <c r="AD26" s="92"/>
      <c r="AE26" s="99"/>
      <c r="AF26" s="99"/>
    </row>
    <row r="27" ht="26.25" customHeight="1">
      <c r="B27" s="99"/>
      <c r="C27" s="93" t="b">
        <v>0</v>
      </c>
      <c r="D27" s="77"/>
      <c r="E27" s="101"/>
      <c r="F27" s="89" t="str">
        <f t="shared" si="4"/>
        <v/>
      </c>
      <c r="G27" s="92"/>
      <c r="H27" s="103"/>
      <c r="I27" s="92"/>
      <c r="J27" s="93" t="b">
        <v>0</v>
      </c>
      <c r="K27" s="89"/>
      <c r="L27" s="89"/>
      <c r="M27" s="96"/>
      <c r="N27" s="96"/>
      <c r="O27" s="95"/>
      <c r="P27" s="95"/>
      <c r="Q27" s="95"/>
      <c r="R27" s="95"/>
      <c r="S27" s="95"/>
      <c r="T27" s="89" t="str">
        <f t="shared" si="5"/>
        <v/>
      </c>
      <c r="U27" s="89"/>
      <c r="V27" s="92"/>
      <c r="W27" s="92"/>
      <c r="X27" s="89"/>
      <c r="Y27" s="92"/>
      <c r="Z27" s="89"/>
      <c r="AA27" s="104"/>
      <c r="AB27" s="104"/>
      <c r="AC27" s="92"/>
      <c r="AD27" s="92"/>
      <c r="AE27" s="99"/>
      <c r="AF27" s="99"/>
    </row>
    <row r="28" ht="26.25" customHeight="1">
      <c r="B28" s="99"/>
      <c r="C28" s="93" t="b">
        <v>0</v>
      </c>
      <c r="D28" s="77"/>
      <c r="E28" s="101"/>
      <c r="F28" s="89" t="str">
        <f t="shared" si="4"/>
        <v/>
      </c>
      <c r="G28" s="92"/>
      <c r="H28" s="103"/>
      <c r="I28" s="92"/>
      <c r="J28" s="93" t="b">
        <v>0</v>
      </c>
      <c r="K28" s="89"/>
      <c r="L28" s="89"/>
      <c r="M28" s="96"/>
      <c r="N28" s="96"/>
      <c r="O28" s="95"/>
      <c r="P28" s="95"/>
      <c r="Q28" s="95"/>
      <c r="R28" s="95"/>
      <c r="S28" s="95"/>
      <c r="T28" s="89" t="str">
        <f t="shared" si="5"/>
        <v/>
      </c>
      <c r="U28" s="89"/>
      <c r="V28" s="92"/>
      <c r="W28" s="92"/>
      <c r="X28" s="89"/>
      <c r="Y28" s="92"/>
      <c r="Z28" s="89"/>
      <c r="AA28" s="104"/>
      <c r="AB28" s="104"/>
      <c r="AC28" s="92"/>
      <c r="AD28" s="92"/>
      <c r="AE28" s="99"/>
      <c r="AF28" s="99"/>
    </row>
    <row r="29" ht="26.25" customHeight="1">
      <c r="B29" s="99"/>
      <c r="C29" s="93" t="b">
        <v>0</v>
      </c>
      <c r="D29" s="77"/>
      <c r="E29" s="101"/>
      <c r="F29" s="89" t="str">
        <f t="shared" si="4"/>
        <v/>
      </c>
      <c r="G29" s="92"/>
      <c r="H29" s="103"/>
      <c r="I29" s="92"/>
      <c r="J29" s="93" t="b">
        <v>0</v>
      </c>
      <c r="K29" s="89"/>
      <c r="L29" s="89"/>
      <c r="M29" s="96"/>
      <c r="N29" s="96"/>
      <c r="O29" s="95"/>
      <c r="P29" s="95"/>
      <c r="Q29" s="95"/>
      <c r="R29" s="95"/>
      <c r="S29" s="95"/>
      <c r="T29" s="89" t="str">
        <f t="shared" si="5"/>
        <v/>
      </c>
      <c r="U29" s="89"/>
      <c r="V29" s="92"/>
      <c r="W29" s="92"/>
      <c r="X29" s="89"/>
      <c r="Y29" s="92"/>
      <c r="Z29" s="89"/>
      <c r="AA29" s="104"/>
      <c r="AB29" s="104"/>
      <c r="AC29" s="92"/>
      <c r="AD29" s="92"/>
      <c r="AE29" s="99"/>
      <c r="AF29" s="99"/>
    </row>
    <row r="30" ht="26.25" customHeight="1">
      <c r="B30" s="99"/>
      <c r="C30" s="93" t="b">
        <v>0</v>
      </c>
      <c r="D30" s="77"/>
      <c r="E30" s="101"/>
      <c r="F30" s="89" t="str">
        <f t="shared" si="4"/>
        <v/>
      </c>
      <c r="G30" s="92"/>
      <c r="H30" s="103"/>
      <c r="I30" s="92"/>
      <c r="J30" s="93" t="b">
        <v>0</v>
      </c>
      <c r="K30" s="89"/>
      <c r="L30" s="89"/>
      <c r="M30" s="96"/>
      <c r="N30" s="96"/>
      <c r="O30" s="95"/>
      <c r="P30" s="95"/>
      <c r="Q30" s="95"/>
      <c r="R30" s="95"/>
      <c r="S30" s="95"/>
      <c r="T30" s="89" t="str">
        <f t="shared" si="5"/>
        <v/>
      </c>
      <c r="U30" s="89"/>
      <c r="V30" s="92"/>
      <c r="W30" s="92"/>
      <c r="X30" s="89"/>
      <c r="Y30" s="92"/>
      <c r="Z30" s="89"/>
      <c r="AA30" s="104"/>
      <c r="AB30" s="104"/>
      <c r="AC30" s="92"/>
      <c r="AD30" s="92"/>
      <c r="AE30" s="99"/>
      <c r="AF30" s="99"/>
    </row>
    <row r="31" ht="26.25" customHeight="1">
      <c r="B31" s="95"/>
      <c r="C31" s="95"/>
      <c r="D31" s="77"/>
      <c r="E31" s="101"/>
      <c r="F31" s="89" t="str">
        <f t="shared" si="4"/>
        <v/>
      </c>
      <c r="G31" s="92"/>
      <c r="H31" s="103"/>
      <c r="I31" s="92"/>
      <c r="J31" s="93" t="b">
        <v>0</v>
      </c>
      <c r="K31" s="89"/>
      <c r="L31" s="89"/>
      <c r="M31" s="96"/>
      <c r="N31" s="96"/>
      <c r="O31" s="95"/>
      <c r="P31" s="95"/>
      <c r="Q31" s="95"/>
      <c r="R31" s="95"/>
      <c r="S31" s="95"/>
      <c r="T31" s="89" t="str">
        <f t="shared" si="5"/>
        <v/>
      </c>
      <c r="U31" s="89"/>
      <c r="V31" s="92"/>
      <c r="W31" s="92"/>
      <c r="X31" s="89"/>
      <c r="Y31" s="92"/>
      <c r="Z31" s="89"/>
      <c r="AA31" s="104"/>
      <c r="AB31" s="104"/>
      <c r="AC31" s="92"/>
      <c r="AD31" s="92"/>
      <c r="AE31" s="99"/>
      <c r="AF31" s="99"/>
    </row>
    <row r="32" ht="26.25" customHeight="1">
      <c r="B32" s="95"/>
      <c r="C32" s="95"/>
      <c r="D32" s="77"/>
      <c r="E32" s="101"/>
      <c r="F32" s="89" t="str">
        <f t="shared" si="4"/>
        <v/>
      </c>
      <c r="G32" s="92"/>
      <c r="H32" s="103"/>
      <c r="I32" s="92"/>
      <c r="J32" s="93" t="b">
        <v>0</v>
      </c>
      <c r="K32" s="89"/>
      <c r="L32" s="89"/>
      <c r="M32" s="96"/>
      <c r="N32" s="96"/>
      <c r="O32" s="95"/>
      <c r="P32" s="95"/>
      <c r="Q32" s="95"/>
      <c r="R32" s="95"/>
      <c r="S32" s="95"/>
      <c r="T32" s="89" t="str">
        <f t="shared" si="5"/>
        <v/>
      </c>
      <c r="U32" s="89"/>
      <c r="V32" s="92"/>
      <c r="W32" s="92"/>
      <c r="X32" s="89"/>
      <c r="Y32" s="92"/>
      <c r="Z32" s="89"/>
      <c r="AA32" s="104"/>
      <c r="AB32" s="104"/>
      <c r="AC32" s="92"/>
      <c r="AD32" s="92"/>
      <c r="AE32" s="99"/>
      <c r="AF32" s="99"/>
    </row>
    <row r="33" ht="26.25" customHeight="1">
      <c r="B33" s="95"/>
      <c r="C33" s="95"/>
      <c r="D33" s="77"/>
      <c r="E33" s="101"/>
      <c r="F33" s="89" t="str">
        <f t="shared" si="4"/>
        <v/>
      </c>
      <c r="G33" s="92"/>
      <c r="H33" s="103"/>
      <c r="I33" s="92"/>
      <c r="J33" s="93" t="b">
        <v>0</v>
      </c>
      <c r="K33" s="89"/>
      <c r="L33" s="89"/>
      <c r="M33" s="96"/>
      <c r="N33" s="96"/>
      <c r="O33" s="95"/>
      <c r="P33" s="95"/>
      <c r="Q33" s="95"/>
      <c r="R33" s="95"/>
      <c r="S33" s="95"/>
      <c r="T33" s="89" t="str">
        <f t="shared" si="5"/>
        <v/>
      </c>
      <c r="U33" s="89"/>
      <c r="V33" s="92"/>
      <c r="W33" s="92"/>
      <c r="X33" s="89"/>
      <c r="Y33" s="92"/>
      <c r="Z33" s="89"/>
      <c r="AA33" s="104"/>
      <c r="AB33" s="104"/>
      <c r="AC33" s="92"/>
      <c r="AD33" s="92"/>
      <c r="AE33" s="99"/>
      <c r="AF33" s="99"/>
    </row>
    <row r="34" ht="26.25" customHeight="1">
      <c r="B34" s="95"/>
      <c r="C34" s="95"/>
      <c r="D34" s="77"/>
      <c r="E34" s="101"/>
      <c r="F34" s="89" t="str">
        <f t="shared" si="4"/>
        <v/>
      </c>
      <c r="G34" s="92"/>
      <c r="H34" s="103"/>
      <c r="I34" s="92"/>
      <c r="J34" s="93" t="b">
        <v>0</v>
      </c>
      <c r="K34" s="89"/>
      <c r="L34" s="89"/>
      <c r="M34" s="96"/>
      <c r="N34" s="96"/>
      <c r="O34" s="95"/>
      <c r="P34" s="95"/>
      <c r="Q34" s="95"/>
      <c r="R34" s="95"/>
      <c r="S34" s="95"/>
      <c r="T34" s="89" t="str">
        <f t="shared" si="5"/>
        <v/>
      </c>
      <c r="U34" s="89"/>
      <c r="V34" s="92"/>
      <c r="W34" s="92"/>
      <c r="X34" s="89"/>
      <c r="Y34" s="92"/>
      <c r="Z34" s="89"/>
      <c r="AA34" s="104"/>
      <c r="AB34" s="104"/>
      <c r="AC34" s="92"/>
      <c r="AD34" s="92"/>
      <c r="AE34" s="99"/>
      <c r="AF34" s="99"/>
    </row>
    <row r="35" ht="26.25" customHeight="1">
      <c r="B35" s="95"/>
      <c r="C35" s="95"/>
      <c r="D35" s="77"/>
      <c r="E35" s="101"/>
      <c r="F35" s="89" t="str">
        <f t="shared" si="4"/>
        <v/>
      </c>
      <c r="G35" s="92"/>
      <c r="H35" s="103"/>
      <c r="I35" s="92"/>
      <c r="J35" s="93" t="b">
        <v>0</v>
      </c>
      <c r="K35" s="89"/>
      <c r="L35" s="89"/>
      <c r="M35" s="96"/>
      <c r="N35" s="96"/>
      <c r="O35" s="95"/>
      <c r="P35" s="95"/>
      <c r="Q35" s="95"/>
      <c r="R35" s="95"/>
      <c r="S35" s="95"/>
      <c r="T35" s="89" t="str">
        <f t="shared" si="5"/>
        <v/>
      </c>
      <c r="U35" s="89"/>
      <c r="V35" s="92"/>
      <c r="W35" s="92"/>
      <c r="X35" s="89"/>
      <c r="Y35" s="92"/>
      <c r="Z35" s="89"/>
      <c r="AA35" s="104"/>
      <c r="AB35" s="104"/>
      <c r="AC35" s="92"/>
      <c r="AD35" s="92"/>
      <c r="AE35" s="99"/>
      <c r="AF35" s="99"/>
    </row>
    <row r="36" ht="26.25" customHeight="1">
      <c r="B36" s="95"/>
      <c r="C36" s="95"/>
      <c r="D36" s="77"/>
      <c r="E36" s="101"/>
      <c r="F36" s="89" t="str">
        <f t="shared" si="4"/>
        <v/>
      </c>
      <c r="G36" s="92"/>
      <c r="H36" s="103"/>
      <c r="I36" s="92"/>
      <c r="J36" s="93" t="b">
        <v>0</v>
      </c>
      <c r="K36" s="89"/>
      <c r="L36" s="89"/>
      <c r="M36" s="96"/>
      <c r="N36" s="96"/>
      <c r="O36" s="95"/>
      <c r="P36" s="95"/>
      <c r="Q36" s="95"/>
      <c r="R36" s="95"/>
      <c r="S36" s="95"/>
      <c r="T36" s="89" t="str">
        <f t="shared" si="5"/>
        <v/>
      </c>
      <c r="U36" s="89"/>
      <c r="V36" s="92"/>
      <c r="W36" s="92"/>
      <c r="X36" s="89"/>
      <c r="Y36" s="92"/>
      <c r="Z36" s="89"/>
      <c r="AA36" s="104"/>
      <c r="AB36" s="104"/>
      <c r="AC36" s="92"/>
      <c r="AD36" s="92"/>
      <c r="AE36" s="99"/>
      <c r="AF36" s="99"/>
    </row>
    <row r="37" ht="26.25" customHeight="1">
      <c r="B37" s="95"/>
      <c r="C37" s="95"/>
      <c r="D37" s="77"/>
      <c r="E37" s="101"/>
      <c r="F37" s="89" t="str">
        <f t="shared" si="4"/>
        <v/>
      </c>
      <c r="G37" s="92"/>
      <c r="H37" s="103"/>
      <c r="I37" s="92"/>
      <c r="J37" s="93" t="b">
        <v>0</v>
      </c>
      <c r="K37" s="89"/>
      <c r="L37" s="89"/>
      <c r="M37" s="96"/>
      <c r="N37" s="96"/>
      <c r="O37" s="95"/>
      <c r="P37" s="95"/>
      <c r="Q37" s="95"/>
      <c r="R37" s="95"/>
      <c r="S37" s="95"/>
      <c r="T37" s="89" t="str">
        <f t="shared" si="5"/>
        <v/>
      </c>
      <c r="U37" s="89"/>
      <c r="V37" s="92"/>
      <c r="W37" s="92"/>
      <c r="X37" s="89"/>
      <c r="Y37" s="92"/>
      <c r="Z37" s="89"/>
      <c r="AA37" s="104"/>
      <c r="AB37" s="104"/>
      <c r="AC37" s="92"/>
      <c r="AD37" s="92"/>
      <c r="AE37" s="99"/>
      <c r="AF37" s="99"/>
    </row>
    <row r="38" ht="26.25" customHeight="1">
      <c r="B38" s="95"/>
      <c r="C38" s="95"/>
      <c r="D38" s="77"/>
      <c r="E38" s="101"/>
      <c r="F38" s="89" t="str">
        <f t="shared" si="4"/>
        <v/>
      </c>
      <c r="G38" s="92"/>
      <c r="H38" s="103"/>
      <c r="I38" s="92"/>
      <c r="J38" s="93" t="b">
        <v>0</v>
      </c>
      <c r="K38" s="89"/>
      <c r="L38" s="89"/>
      <c r="M38" s="96"/>
      <c r="N38" s="96"/>
      <c r="O38" s="95"/>
      <c r="P38" s="95"/>
      <c r="Q38" s="95"/>
      <c r="R38" s="95"/>
      <c r="S38" s="95"/>
      <c r="T38" s="89" t="str">
        <f t="shared" si="5"/>
        <v/>
      </c>
      <c r="U38" s="89"/>
      <c r="V38" s="92"/>
      <c r="W38" s="92"/>
      <c r="X38" s="89"/>
      <c r="Y38" s="92"/>
      <c r="Z38" s="89"/>
      <c r="AA38" s="104"/>
      <c r="AB38" s="104"/>
      <c r="AC38" s="92"/>
      <c r="AD38" s="92"/>
      <c r="AE38" s="99"/>
      <c r="AF38" s="99"/>
    </row>
    <row r="39" ht="26.25" customHeight="1">
      <c r="B39" s="95"/>
      <c r="C39" s="95"/>
      <c r="D39" s="77"/>
      <c r="E39" s="101"/>
      <c r="F39" s="89" t="str">
        <f t="shared" si="4"/>
        <v/>
      </c>
      <c r="G39" s="92"/>
      <c r="H39" s="103"/>
      <c r="I39" s="92"/>
      <c r="J39" s="93" t="b">
        <v>0</v>
      </c>
      <c r="K39" s="89"/>
      <c r="L39" s="89"/>
      <c r="M39" s="96"/>
      <c r="N39" s="96"/>
      <c r="O39" s="95"/>
      <c r="P39" s="95"/>
      <c r="Q39" s="95"/>
      <c r="R39" s="95"/>
      <c r="S39" s="95"/>
      <c r="T39" s="89" t="str">
        <f t="shared" si="5"/>
        <v/>
      </c>
      <c r="U39" s="89"/>
      <c r="V39" s="92"/>
      <c r="W39" s="92"/>
      <c r="X39" s="89"/>
      <c r="Y39" s="92"/>
      <c r="Z39" s="89"/>
      <c r="AA39" s="104"/>
      <c r="AB39" s="104"/>
      <c r="AC39" s="92"/>
      <c r="AD39" s="92"/>
      <c r="AE39" s="99"/>
      <c r="AF39" s="99"/>
    </row>
    <row r="40" ht="26.25" customHeight="1">
      <c r="B40" s="95"/>
      <c r="C40" s="95"/>
      <c r="D40" s="77"/>
      <c r="E40" s="101"/>
      <c r="F40" s="89" t="str">
        <f t="shared" si="4"/>
        <v/>
      </c>
      <c r="G40" s="92"/>
      <c r="H40" s="103"/>
      <c r="I40" s="92"/>
      <c r="J40" s="93" t="b">
        <v>0</v>
      </c>
      <c r="K40" s="89"/>
      <c r="L40" s="89"/>
      <c r="M40" s="96"/>
      <c r="N40" s="96"/>
      <c r="O40" s="95"/>
      <c r="P40" s="95"/>
      <c r="Q40" s="95"/>
      <c r="R40" s="95"/>
      <c r="S40" s="95"/>
      <c r="T40" s="89" t="str">
        <f t="shared" si="5"/>
        <v/>
      </c>
      <c r="U40" s="89"/>
      <c r="V40" s="92"/>
      <c r="W40" s="92"/>
      <c r="X40" s="89"/>
      <c r="Y40" s="92"/>
      <c r="Z40" s="89"/>
      <c r="AA40" s="104"/>
      <c r="AB40" s="104"/>
      <c r="AC40" s="92"/>
      <c r="AD40" s="92"/>
      <c r="AE40" s="99"/>
      <c r="AF40" s="99"/>
    </row>
    <row r="41" ht="26.25" customHeight="1">
      <c r="B41" s="95"/>
      <c r="C41" s="95"/>
      <c r="D41" s="77"/>
      <c r="E41" s="101"/>
      <c r="F41" s="89" t="str">
        <f t="shared" si="4"/>
        <v/>
      </c>
      <c r="G41" s="92"/>
      <c r="H41" s="103"/>
      <c r="I41" s="92"/>
      <c r="J41" s="93" t="b">
        <v>0</v>
      </c>
      <c r="K41" s="89"/>
      <c r="L41" s="89"/>
      <c r="M41" s="96"/>
      <c r="N41" s="96"/>
      <c r="O41" s="95"/>
      <c r="P41" s="95"/>
      <c r="Q41" s="95"/>
      <c r="R41" s="95"/>
      <c r="S41" s="95"/>
      <c r="T41" s="89" t="str">
        <f t="shared" si="5"/>
        <v/>
      </c>
      <c r="U41" s="89"/>
      <c r="V41" s="92"/>
      <c r="W41" s="92"/>
      <c r="X41" s="89"/>
      <c r="Y41" s="92"/>
      <c r="Z41" s="89"/>
      <c r="AA41" s="104"/>
      <c r="AB41" s="104"/>
      <c r="AC41" s="92"/>
      <c r="AD41" s="92"/>
      <c r="AE41" s="99"/>
      <c r="AF41" s="99"/>
    </row>
    <row r="42" ht="26.25" customHeight="1">
      <c r="B42" s="95"/>
      <c r="C42" s="95"/>
      <c r="D42" s="77"/>
      <c r="E42" s="101"/>
      <c r="F42" s="89" t="str">
        <f t="shared" si="4"/>
        <v/>
      </c>
      <c r="G42" s="92"/>
      <c r="H42" s="103"/>
      <c r="I42" s="92"/>
      <c r="J42" s="93" t="b">
        <v>0</v>
      </c>
      <c r="K42" s="89"/>
      <c r="L42" s="89"/>
      <c r="M42" s="96"/>
      <c r="N42" s="96"/>
      <c r="O42" s="95"/>
      <c r="P42" s="95"/>
      <c r="Q42" s="95"/>
      <c r="R42" s="95"/>
      <c r="S42" s="95"/>
      <c r="T42" s="89" t="str">
        <f t="shared" si="5"/>
        <v/>
      </c>
      <c r="U42" s="89"/>
      <c r="V42" s="92"/>
      <c r="W42" s="92"/>
      <c r="X42" s="89"/>
      <c r="Y42" s="92"/>
      <c r="Z42" s="89"/>
      <c r="AA42" s="104"/>
      <c r="AB42" s="104"/>
      <c r="AC42" s="92"/>
      <c r="AD42" s="92"/>
      <c r="AE42" s="99"/>
      <c r="AF42" s="99"/>
    </row>
    <row r="43" ht="26.25" customHeight="1">
      <c r="B43" s="95"/>
      <c r="C43" s="95"/>
      <c r="D43" s="77"/>
      <c r="E43" s="101"/>
      <c r="F43" s="89" t="str">
        <f t="shared" si="4"/>
        <v/>
      </c>
      <c r="G43" s="92"/>
      <c r="H43" s="103"/>
      <c r="I43" s="92"/>
      <c r="J43" s="93" t="b">
        <v>0</v>
      </c>
      <c r="K43" s="89"/>
      <c r="L43" s="89"/>
      <c r="M43" s="96"/>
      <c r="N43" s="96"/>
      <c r="O43" s="95"/>
      <c r="P43" s="95"/>
      <c r="Q43" s="95"/>
      <c r="R43" s="95"/>
      <c r="S43" s="95"/>
      <c r="T43" s="89" t="str">
        <f t="shared" si="5"/>
        <v/>
      </c>
      <c r="U43" s="89"/>
      <c r="V43" s="92"/>
      <c r="W43" s="92"/>
      <c r="X43" s="89"/>
      <c r="Y43" s="92"/>
      <c r="Z43" s="89"/>
      <c r="AA43" s="104"/>
      <c r="AB43" s="104"/>
      <c r="AC43" s="92"/>
      <c r="AD43" s="92"/>
      <c r="AE43" s="99"/>
      <c r="AF43" s="99"/>
    </row>
    <row r="44" ht="26.25" customHeight="1">
      <c r="B44" s="95"/>
      <c r="C44" s="95"/>
      <c r="D44" s="77"/>
      <c r="E44" s="101"/>
      <c r="F44" s="89" t="str">
        <f t="shared" si="4"/>
        <v/>
      </c>
      <c r="G44" s="92"/>
      <c r="H44" s="103"/>
      <c r="I44" s="92"/>
      <c r="J44" s="93" t="b">
        <v>0</v>
      </c>
      <c r="K44" s="89"/>
      <c r="L44" s="89"/>
      <c r="M44" s="96"/>
      <c r="N44" s="96"/>
      <c r="O44" s="95"/>
      <c r="P44" s="95"/>
      <c r="Q44" s="95"/>
      <c r="R44" s="95"/>
      <c r="S44" s="95"/>
      <c r="T44" s="89" t="str">
        <f t="shared" si="5"/>
        <v/>
      </c>
      <c r="U44" s="89"/>
      <c r="V44" s="92"/>
      <c r="W44" s="92"/>
      <c r="X44" s="89"/>
      <c r="Y44" s="92"/>
      <c r="Z44" s="89"/>
      <c r="AA44" s="104"/>
      <c r="AB44" s="104"/>
      <c r="AC44" s="92"/>
      <c r="AD44" s="92"/>
      <c r="AE44" s="99"/>
      <c r="AF44" s="99"/>
    </row>
    <row r="45" ht="26.25" customHeight="1">
      <c r="B45" s="95"/>
      <c r="C45" s="95"/>
      <c r="D45" s="77"/>
      <c r="E45" s="101"/>
      <c r="F45" s="89" t="str">
        <f t="shared" si="4"/>
        <v/>
      </c>
      <c r="G45" s="92"/>
      <c r="H45" s="103"/>
      <c r="I45" s="92"/>
      <c r="J45" s="93" t="b">
        <v>0</v>
      </c>
      <c r="K45" s="89"/>
      <c r="L45" s="89"/>
      <c r="M45" s="96"/>
      <c r="N45" s="96"/>
      <c r="O45" s="95"/>
      <c r="P45" s="95"/>
      <c r="Q45" s="95"/>
      <c r="R45" s="95"/>
      <c r="S45" s="95"/>
      <c r="T45" s="89" t="str">
        <f t="shared" si="5"/>
        <v/>
      </c>
      <c r="U45" s="89"/>
      <c r="V45" s="92"/>
      <c r="W45" s="92"/>
      <c r="X45" s="89"/>
      <c r="Y45" s="92"/>
      <c r="Z45" s="89"/>
      <c r="AA45" s="104"/>
      <c r="AB45" s="104"/>
      <c r="AC45" s="92"/>
      <c r="AD45" s="92"/>
      <c r="AE45" s="99"/>
      <c r="AF45" s="99"/>
    </row>
    <row r="46" ht="26.25" customHeight="1">
      <c r="B46" s="95"/>
      <c r="C46" s="95"/>
      <c r="D46" s="77"/>
      <c r="E46" s="101"/>
      <c r="F46" s="89" t="str">
        <f t="shared" si="4"/>
        <v/>
      </c>
      <c r="G46" s="92"/>
      <c r="H46" s="103"/>
      <c r="I46" s="92"/>
      <c r="J46" s="93" t="b">
        <v>0</v>
      </c>
      <c r="K46" s="89"/>
      <c r="L46" s="89"/>
      <c r="M46" s="96"/>
      <c r="N46" s="96"/>
      <c r="O46" s="95"/>
      <c r="P46" s="95"/>
      <c r="Q46" s="95"/>
      <c r="R46" s="95"/>
      <c r="S46" s="95"/>
      <c r="T46" s="89" t="str">
        <f t="shared" si="5"/>
        <v/>
      </c>
      <c r="U46" s="89"/>
      <c r="V46" s="92"/>
      <c r="W46" s="92"/>
      <c r="X46" s="89"/>
      <c r="Y46" s="92"/>
      <c r="Z46" s="89"/>
      <c r="AA46" s="104"/>
      <c r="AB46" s="104"/>
      <c r="AC46" s="92"/>
      <c r="AD46" s="92"/>
      <c r="AE46" s="99"/>
      <c r="AF46" s="99"/>
    </row>
    <row r="47" ht="26.25" customHeight="1">
      <c r="B47" s="95"/>
      <c r="C47" s="95"/>
      <c r="D47" s="77"/>
      <c r="E47" s="101"/>
      <c r="F47" s="89" t="str">
        <f t="shared" si="4"/>
        <v/>
      </c>
      <c r="G47" s="92"/>
      <c r="H47" s="103"/>
      <c r="I47" s="92"/>
      <c r="J47" s="93" t="b">
        <v>0</v>
      </c>
      <c r="K47" s="89"/>
      <c r="L47" s="89"/>
      <c r="M47" s="96"/>
      <c r="N47" s="96"/>
      <c r="O47" s="95"/>
      <c r="P47" s="95"/>
      <c r="Q47" s="95"/>
      <c r="R47" s="95"/>
      <c r="S47" s="95"/>
      <c r="T47" s="89" t="str">
        <f t="shared" si="5"/>
        <v/>
      </c>
      <c r="U47" s="89"/>
      <c r="V47" s="92"/>
      <c r="W47" s="92"/>
      <c r="X47" s="89"/>
      <c r="Y47" s="92"/>
      <c r="Z47" s="89"/>
      <c r="AA47" s="104"/>
      <c r="AB47" s="104"/>
      <c r="AC47" s="92"/>
      <c r="AD47" s="92"/>
      <c r="AE47" s="99"/>
      <c r="AF47" s="99"/>
    </row>
    <row r="48" ht="26.25" customHeight="1">
      <c r="B48" s="95"/>
      <c r="C48" s="95"/>
      <c r="D48" s="77"/>
      <c r="E48" s="101"/>
      <c r="F48" s="89" t="str">
        <f t="shared" si="4"/>
        <v/>
      </c>
      <c r="G48" s="92"/>
      <c r="H48" s="103"/>
      <c r="I48" s="92"/>
      <c r="J48" s="93" t="b">
        <v>0</v>
      </c>
      <c r="K48" s="89"/>
      <c r="L48" s="89"/>
      <c r="M48" s="96"/>
      <c r="N48" s="96"/>
      <c r="O48" s="95"/>
      <c r="P48" s="95"/>
      <c r="Q48" s="95"/>
      <c r="R48" s="95"/>
      <c r="S48" s="95"/>
      <c r="T48" s="89" t="str">
        <f t="shared" si="5"/>
        <v/>
      </c>
      <c r="U48" s="89"/>
      <c r="V48" s="92"/>
      <c r="W48" s="92"/>
      <c r="X48" s="89"/>
      <c r="Y48" s="92"/>
      <c r="Z48" s="89"/>
      <c r="AA48" s="104"/>
      <c r="AB48" s="104"/>
      <c r="AC48" s="92"/>
      <c r="AD48" s="92"/>
      <c r="AE48" s="99"/>
      <c r="AF48" s="99"/>
    </row>
    <row r="49" ht="26.25" customHeight="1">
      <c r="B49" s="95"/>
      <c r="C49" s="95"/>
      <c r="D49" s="77"/>
      <c r="E49" s="101"/>
      <c r="F49" s="89" t="str">
        <f t="shared" si="4"/>
        <v/>
      </c>
      <c r="G49" s="92"/>
      <c r="H49" s="103"/>
      <c r="I49" s="92"/>
      <c r="J49" s="93" t="b">
        <v>0</v>
      </c>
      <c r="K49" s="89"/>
      <c r="L49" s="89"/>
      <c r="M49" s="96"/>
      <c r="N49" s="96"/>
      <c r="O49" s="95"/>
      <c r="P49" s="95"/>
      <c r="Q49" s="95"/>
      <c r="R49" s="95"/>
      <c r="S49" s="95"/>
      <c r="T49" s="89" t="str">
        <f t="shared" si="5"/>
        <v/>
      </c>
      <c r="U49" s="89"/>
      <c r="V49" s="92"/>
      <c r="W49" s="92"/>
      <c r="X49" s="89"/>
      <c r="Y49" s="92"/>
      <c r="Z49" s="89"/>
      <c r="AA49" s="104"/>
      <c r="AB49" s="104"/>
      <c r="AC49" s="92"/>
      <c r="AD49" s="92"/>
      <c r="AE49" s="99"/>
      <c r="AF49" s="99"/>
    </row>
    <row r="50" ht="26.25" customHeight="1">
      <c r="B50" s="95"/>
      <c r="C50" s="95"/>
      <c r="D50" s="77"/>
      <c r="E50" s="101"/>
      <c r="F50" s="89" t="str">
        <f t="shared" si="4"/>
        <v/>
      </c>
      <c r="G50" s="92"/>
      <c r="H50" s="103"/>
      <c r="I50" s="92"/>
      <c r="J50" s="93" t="b">
        <v>0</v>
      </c>
      <c r="K50" s="89"/>
      <c r="L50" s="89"/>
      <c r="M50" s="96"/>
      <c r="N50" s="96"/>
      <c r="O50" s="95"/>
      <c r="P50" s="95"/>
      <c r="Q50" s="95"/>
      <c r="R50" s="95"/>
      <c r="S50" s="95"/>
      <c r="T50" s="89" t="str">
        <f t="shared" si="5"/>
        <v/>
      </c>
      <c r="U50" s="89"/>
      <c r="V50" s="92"/>
      <c r="W50" s="92"/>
      <c r="X50" s="89"/>
      <c r="Y50" s="92"/>
      <c r="Z50" s="89"/>
      <c r="AA50" s="104"/>
      <c r="AB50" s="104"/>
      <c r="AC50" s="92"/>
      <c r="AD50" s="92"/>
      <c r="AE50" s="99"/>
      <c r="AF50" s="99"/>
    </row>
    <row r="51" ht="26.25" customHeight="1">
      <c r="B51" s="95"/>
      <c r="C51" s="95"/>
      <c r="D51" s="77"/>
      <c r="E51" s="101"/>
      <c r="F51" s="89" t="str">
        <f t="shared" si="4"/>
        <v/>
      </c>
      <c r="G51" s="92"/>
      <c r="H51" s="103"/>
      <c r="I51" s="92"/>
      <c r="J51" s="93" t="b">
        <v>0</v>
      </c>
      <c r="K51" s="89"/>
      <c r="L51" s="89"/>
      <c r="M51" s="96"/>
      <c r="N51" s="96"/>
      <c r="O51" s="95"/>
      <c r="P51" s="95"/>
      <c r="Q51" s="95"/>
      <c r="R51" s="95"/>
      <c r="S51" s="95"/>
      <c r="T51" s="89" t="str">
        <f t="shared" si="5"/>
        <v/>
      </c>
      <c r="U51" s="89"/>
      <c r="V51" s="92"/>
      <c r="W51" s="92"/>
      <c r="X51" s="89"/>
      <c r="Y51" s="92"/>
      <c r="Z51" s="89"/>
      <c r="AA51" s="104"/>
      <c r="AB51" s="104"/>
      <c r="AC51" s="92"/>
      <c r="AD51" s="92"/>
      <c r="AE51" s="99"/>
      <c r="AF51" s="99"/>
    </row>
    <row r="52" ht="26.25" customHeight="1">
      <c r="B52" s="95"/>
      <c r="C52" s="95"/>
      <c r="D52" s="77"/>
      <c r="E52" s="101"/>
      <c r="F52" s="89" t="str">
        <f t="shared" si="4"/>
        <v/>
      </c>
      <c r="G52" s="92"/>
      <c r="H52" s="103"/>
      <c r="I52" s="92"/>
      <c r="J52" s="93" t="b">
        <v>0</v>
      </c>
      <c r="K52" s="89"/>
      <c r="L52" s="89"/>
      <c r="M52" s="96"/>
      <c r="N52" s="96"/>
      <c r="O52" s="95"/>
      <c r="P52" s="95"/>
      <c r="Q52" s="95"/>
      <c r="R52" s="95"/>
      <c r="S52" s="95"/>
      <c r="T52" s="89" t="str">
        <f t="shared" si="5"/>
        <v/>
      </c>
      <c r="U52" s="89"/>
      <c r="V52" s="92"/>
      <c r="W52" s="92"/>
      <c r="X52" s="89"/>
      <c r="Y52" s="92"/>
      <c r="Z52" s="89"/>
      <c r="AA52" s="104"/>
      <c r="AB52" s="104"/>
      <c r="AC52" s="92"/>
      <c r="AD52" s="92"/>
      <c r="AE52" s="99"/>
      <c r="AF52" s="99"/>
    </row>
    <row r="53" ht="26.25" customHeight="1">
      <c r="B53" s="95"/>
      <c r="C53" s="95"/>
      <c r="D53" s="77"/>
      <c r="E53" s="101"/>
      <c r="F53" s="89" t="str">
        <f t="shared" si="4"/>
        <v/>
      </c>
      <c r="G53" s="92"/>
      <c r="H53" s="103"/>
      <c r="I53" s="92"/>
      <c r="J53" s="93" t="b">
        <v>0</v>
      </c>
      <c r="K53" s="89"/>
      <c r="L53" s="89"/>
      <c r="M53" s="96"/>
      <c r="N53" s="96"/>
      <c r="O53" s="95"/>
      <c r="P53" s="95"/>
      <c r="Q53" s="95"/>
      <c r="R53" s="95"/>
      <c r="S53" s="95"/>
      <c r="T53" s="89" t="str">
        <f t="shared" si="5"/>
        <v/>
      </c>
      <c r="U53" s="89"/>
      <c r="V53" s="92"/>
      <c r="W53" s="92"/>
      <c r="X53" s="89"/>
      <c r="Y53" s="92"/>
      <c r="Z53" s="89"/>
      <c r="AA53" s="104"/>
      <c r="AB53" s="104"/>
      <c r="AC53" s="92"/>
      <c r="AD53" s="92"/>
      <c r="AE53" s="99"/>
      <c r="AF53" s="99"/>
    </row>
    <row r="54" ht="26.25" customHeight="1">
      <c r="B54" s="95"/>
      <c r="C54" s="95"/>
      <c r="D54" s="77"/>
      <c r="E54" s="101"/>
      <c r="F54" s="89" t="str">
        <f t="shared" si="4"/>
        <v/>
      </c>
      <c r="G54" s="92"/>
      <c r="H54" s="103"/>
      <c r="I54" s="92"/>
      <c r="J54" s="93" t="b">
        <v>0</v>
      </c>
      <c r="K54" s="89"/>
      <c r="L54" s="89"/>
      <c r="M54" s="96"/>
      <c r="N54" s="96"/>
      <c r="O54" s="95"/>
      <c r="P54" s="95"/>
      <c r="Q54" s="95"/>
      <c r="R54" s="95"/>
      <c r="S54" s="95"/>
      <c r="T54" s="89" t="str">
        <f t="shared" si="5"/>
        <v/>
      </c>
      <c r="U54" s="89"/>
      <c r="V54" s="92"/>
      <c r="W54" s="92"/>
      <c r="X54" s="89"/>
      <c r="Y54" s="92"/>
      <c r="Z54" s="89"/>
      <c r="AA54" s="104"/>
      <c r="AB54" s="104"/>
      <c r="AC54" s="92"/>
      <c r="AD54" s="92"/>
      <c r="AE54" s="99"/>
      <c r="AF54" s="99"/>
    </row>
    <row r="55" ht="26.25" customHeight="1">
      <c r="B55" s="95"/>
      <c r="C55" s="95"/>
      <c r="D55" s="77"/>
      <c r="E55" s="101"/>
      <c r="F55" s="89" t="str">
        <f t="shared" si="4"/>
        <v/>
      </c>
      <c r="G55" s="92"/>
      <c r="H55" s="103"/>
      <c r="I55" s="92"/>
      <c r="J55" s="93" t="b">
        <v>0</v>
      </c>
      <c r="K55" s="89"/>
      <c r="L55" s="89"/>
      <c r="M55" s="96"/>
      <c r="N55" s="96"/>
      <c r="O55" s="95"/>
      <c r="P55" s="95"/>
      <c r="Q55" s="95"/>
      <c r="R55" s="95"/>
      <c r="S55" s="95"/>
      <c r="T55" s="89" t="str">
        <f t="shared" si="5"/>
        <v/>
      </c>
      <c r="U55" s="89"/>
      <c r="V55" s="92"/>
      <c r="W55" s="92"/>
      <c r="X55" s="89"/>
      <c r="Y55" s="92"/>
      <c r="Z55" s="89"/>
      <c r="AA55" s="104"/>
      <c r="AB55" s="104"/>
      <c r="AC55" s="92"/>
      <c r="AD55" s="92"/>
      <c r="AE55" s="99"/>
      <c r="AF55" s="99"/>
    </row>
    <row r="56" ht="26.25" customHeight="1">
      <c r="B56" s="95"/>
      <c r="C56" s="95"/>
      <c r="D56" s="77"/>
      <c r="E56" s="101"/>
      <c r="F56" s="89" t="str">
        <f t="shared" si="4"/>
        <v/>
      </c>
      <c r="G56" s="92"/>
      <c r="H56" s="103"/>
      <c r="I56" s="92"/>
      <c r="J56" s="93" t="b">
        <v>0</v>
      </c>
      <c r="K56" s="89"/>
      <c r="L56" s="89"/>
      <c r="M56" s="96"/>
      <c r="N56" s="96"/>
      <c r="O56" s="95"/>
      <c r="P56" s="95"/>
      <c r="Q56" s="95"/>
      <c r="R56" s="95"/>
      <c r="S56" s="95"/>
      <c r="T56" s="89" t="str">
        <f t="shared" si="5"/>
        <v/>
      </c>
      <c r="U56" s="89"/>
      <c r="V56" s="92"/>
      <c r="W56" s="92"/>
      <c r="X56" s="89"/>
      <c r="Y56" s="92"/>
      <c r="Z56" s="89"/>
      <c r="AA56" s="104"/>
      <c r="AB56" s="104"/>
      <c r="AC56" s="92"/>
      <c r="AD56" s="92"/>
      <c r="AE56" s="99"/>
      <c r="AF56" s="99"/>
    </row>
    <row r="57" ht="26.25" customHeight="1">
      <c r="B57" s="95"/>
      <c r="C57" s="95"/>
      <c r="D57" s="77"/>
      <c r="E57" s="101"/>
      <c r="F57" s="89" t="str">
        <f t="shared" si="4"/>
        <v/>
      </c>
      <c r="G57" s="92"/>
      <c r="H57" s="103"/>
      <c r="I57" s="92"/>
      <c r="J57" s="93" t="b">
        <v>0</v>
      </c>
      <c r="K57" s="89"/>
      <c r="L57" s="89"/>
      <c r="M57" s="96"/>
      <c r="N57" s="96"/>
      <c r="O57" s="95"/>
      <c r="P57" s="95"/>
      <c r="Q57" s="95"/>
      <c r="R57" s="95"/>
      <c r="S57" s="95"/>
      <c r="T57" s="89" t="str">
        <f t="shared" si="5"/>
        <v/>
      </c>
      <c r="U57" s="89"/>
      <c r="V57" s="92"/>
      <c r="W57" s="92"/>
      <c r="X57" s="89"/>
      <c r="Y57" s="92"/>
      <c r="Z57" s="89"/>
      <c r="AA57" s="104"/>
      <c r="AB57" s="104"/>
      <c r="AC57" s="92"/>
      <c r="AD57" s="92"/>
      <c r="AE57" s="99"/>
      <c r="AF57" s="99"/>
    </row>
    <row r="58" ht="26.25" customHeight="1">
      <c r="B58" s="95"/>
      <c r="C58" s="95"/>
      <c r="D58" s="77"/>
      <c r="E58" s="101"/>
      <c r="F58" s="89" t="str">
        <f t="shared" si="4"/>
        <v/>
      </c>
      <c r="G58" s="92"/>
      <c r="H58" s="103"/>
      <c r="I58" s="92"/>
      <c r="J58" s="93" t="b">
        <v>0</v>
      </c>
      <c r="K58" s="89"/>
      <c r="L58" s="89"/>
      <c r="M58" s="96"/>
      <c r="N58" s="96"/>
      <c r="O58" s="95"/>
      <c r="P58" s="95"/>
      <c r="Q58" s="95"/>
      <c r="R58" s="95"/>
      <c r="S58" s="95"/>
      <c r="T58" s="89" t="str">
        <f t="shared" si="5"/>
        <v/>
      </c>
      <c r="U58" s="89"/>
      <c r="V58" s="92"/>
      <c r="W58" s="92"/>
      <c r="X58" s="89"/>
      <c r="Y58" s="92"/>
      <c r="Z58" s="89"/>
      <c r="AA58" s="104"/>
      <c r="AB58" s="104"/>
      <c r="AC58" s="92"/>
      <c r="AD58" s="92"/>
      <c r="AE58" s="99"/>
      <c r="AF58" s="99"/>
    </row>
    <row r="59" ht="26.25" customHeight="1">
      <c r="B59" s="95"/>
      <c r="C59" s="95"/>
      <c r="D59" s="77"/>
      <c r="E59" s="101"/>
      <c r="F59" s="89" t="str">
        <f t="shared" si="4"/>
        <v/>
      </c>
      <c r="G59" s="92"/>
      <c r="H59" s="103"/>
      <c r="I59" s="92"/>
      <c r="J59" s="93" t="b">
        <v>0</v>
      </c>
      <c r="K59" s="89"/>
      <c r="L59" s="89"/>
      <c r="M59" s="96"/>
      <c r="N59" s="96"/>
      <c r="O59" s="95"/>
      <c r="P59" s="95"/>
      <c r="Q59" s="95"/>
      <c r="R59" s="95"/>
      <c r="S59" s="95"/>
      <c r="T59" s="89" t="str">
        <f t="shared" si="5"/>
        <v/>
      </c>
      <c r="U59" s="89"/>
      <c r="V59" s="92"/>
      <c r="W59" s="92"/>
      <c r="X59" s="89"/>
      <c r="Y59" s="92"/>
      <c r="Z59" s="89"/>
      <c r="AA59" s="104"/>
      <c r="AB59" s="104"/>
      <c r="AC59" s="92"/>
      <c r="AD59" s="92"/>
      <c r="AE59" s="99"/>
      <c r="AF59" s="99"/>
    </row>
    <row r="60" ht="26.25" customHeight="1">
      <c r="B60" s="95"/>
      <c r="C60" s="95"/>
      <c r="D60" s="77"/>
      <c r="E60" s="101"/>
      <c r="F60" s="89" t="str">
        <f t="shared" si="4"/>
        <v/>
      </c>
      <c r="G60" s="92"/>
      <c r="H60" s="103"/>
      <c r="I60" s="92"/>
      <c r="J60" s="93" t="b">
        <v>0</v>
      </c>
      <c r="K60" s="89"/>
      <c r="L60" s="89"/>
      <c r="M60" s="96"/>
      <c r="N60" s="96"/>
      <c r="O60" s="95"/>
      <c r="P60" s="95"/>
      <c r="Q60" s="95"/>
      <c r="R60" s="95"/>
      <c r="S60" s="95"/>
      <c r="T60" s="89" t="str">
        <f t="shared" si="5"/>
        <v/>
      </c>
      <c r="U60" s="89"/>
      <c r="V60" s="92"/>
      <c r="W60" s="92"/>
      <c r="X60" s="89"/>
      <c r="Y60" s="92"/>
      <c r="Z60" s="89"/>
      <c r="AA60" s="104"/>
      <c r="AB60" s="104"/>
      <c r="AC60" s="92"/>
      <c r="AD60" s="92"/>
      <c r="AE60" s="99"/>
      <c r="AF60" s="99"/>
    </row>
    <row r="61" ht="26.25" customHeight="1">
      <c r="B61" s="95"/>
      <c r="C61" s="95"/>
      <c r="D61" s="77"/>
      <c r="E61" s="101"/>
      <c r="F61" s="89" t="str">
        <f t="shared" si="4"/>
        <v/>
      </c>
      <c r="G61" s="92"/>
      <c r="H61" s="103"/>
      <c r="I61" s="92"/>
      <c r="J61" s="93" t="b">
        <v>0</v>
      </c>
      <c r="K61" s="89"/>
      <c r="L61" s="89"/>
      <c r="M61" s="96"/>
      <c r="N61" s="96"/>
      <c r="O61" s="95"/>
      <c r="P61" s="95"/>
      <c r="Q61" s="95"/>
      <c r="R61" s="95"/>
      <c r="S61" s="95"/>
      <c r="T61" s="89" t="str">
        <f t="shared" si="5"/>
        <v/>
      </c>
      <c r="U61" s="89"/>
      <c r="V61" s="92"/>
      <c r="W61" s="92"/>
      <c r="X61" s="89"/>
      <c r="Y61" s="92"/>
      <c r="Z61" s="89"/>
      <c r="AA61" s="104"/>
      <c r="AB61" s="104"/>
      <c r="AC61" s="92"/>
      <c r="AD61" s="92"/>
      <c r="AE61" s="99"/>
      <c r="AF61" s="99"/>
    </row>
    <row r="62" ht="26.25" customHeight="1">
      <c r="B62" s="95"/>
      <c r="C62" s="95"/>
      <c r="D62" s="77"/>
      <c r="E62" s="101"/>
      <c r="F62" s="89" t="str">
        <f t="shared" si="4"/>
        <v/>
      </c>
      <c r="G62" s="92"/>
      <c r="H62" s="103"/>
      <c r="I62" s="92"/>
      <c r="J62" s="93" t="b">
        <v>0</v>
      </c>
      <c r="K62" s="89"/>
      <c r="L62" s="89"/>
      <c r="M62" s="96"/>
      <c r="N62" s="96"/>
      <c r="O62" s="95"/>
      <c r="P62" s="95"/>
      <c r="Q62" s="95"/>
      <c r="R62" s="95"/>
      <c r="S62" s="95"/>
      <c r="T62" s="89" t="str">
        <f t="shared" si="5"/>
        <v/>
      </c>
      <c r="U62" s="89"/>
      <c r="V62" s="92"/>
      <c r="W62" s="92"/>
      <c r="X62" s="89"/>
      <c r="Y62" s="92"/>
      <c r="Z62" s="89"/>
      <c r="AA62" s="104"/>
      <c r="AB62" s="104"/>
      <c r="AC62" s="92"/>
      <c r="AD62" s="92"/>
      <c r="AE62" s="99"/>
      <c r="AF62" s="99"/>
    </row>
    <row r="63" ht="26.25" customHeight="1">
      <c r="B63" s="95"/>
      <c r="C63" s="95"/>
      <c r="D63" s="77"/>
      <c r="E63" s="101"/>
      <c r="F63" s="89" t="str">
        <f t="shared" si="4"/>
        <v/>
      </c>
      <c r="G63" s="92"/>
      <c r="H63" s="103"/>
      <c r="I63" s="92"/>
      <c r="J63" s="93" t="b">
        <v>0</v>
      </c>
      <c r="K63" s="89"/>
      <c r="L63" s="89"/>
      <c r="M63" s="96"/>
      <c r="N63" s="96"/>
      <c r="O63" s="95"/>
      <c r="P63" s="95"/>
      <c r="Q63" s="95"/>
      <c r="R63" s="95"/>
      <c r="S63" s="95"/>
      <c r="T63" s="89" t="str">
        <f t="shared" si="5"/>
        <v/>
      </c>
      <c r="U63" s="89"/>
      <c r="V63" s="92"/>
      <c r="W63" s="92"/>
      <c r="X63" s="89"/>
      <c r="Y63" s="92"/>
      <c r="Z63" s="89"/>
      <c r="AA63" s="104"/>
      <c r="AB63" s="104"/>
      <c r="AC63" s="92"/>
      <c r="AD63" s="92"/>
      <c r="AE63" s="99"/>
      <c r="AF63" s="99"/>
    </row>
    <row r="64" ht="26.25" customHeight="1">
      <c r="B64" s="95"/>
      <c r="C64" s="95"/>
      <c r="D64" s="77"/>
      <c r="E64" s="101"/>
      <c r="F64" s="89" t="str">
        <f t="shared" si="4"/>
        <v/>
      </c>
      <c r="G64" s="92"/>
      <c r="H64" s="103"/>
      <c r="I64" s="92"/>
      <c r="J64" s="93" t="b">
        <v>0</v>
      </c>
      <c r="K64" s="89"/>
      <c r="L64" s="89"/>
      <c r="M64" s="96"/>
      <c r="N64" s="96"/>
      <c r="O64" s="95"/>
      <c r="P64" s="95"/>
      <c r="Q64" s="95"/>
      <c r="R64" s="95"/>
      <c r="S64" s="95"/>
      <c r="T64" s="89" t="str">
        <f t="shared" si="5"/>
        <v/>
      </c>
      <c r="U64" s="89"/>
      <c r="V64" s="92"/>
      <c r="W64" s="92"/>
      <c r="X64" s="89"/>
      <c r="Y64" s="92"/>
      <c r="Z64" s="89"/>
      <c r="AA64" s="104"/>
      <c r="AB64" s="104"/>
      <c r="AC64" s="92"/>
      <c r="AD64" s="92"/>
      <c r="AE64" s="99"/>
      <c r="AF64" s="99"/>
    </row>
    <row r="65" ht="26.25" customHeight="1">
      <c r="B65" s="95"/>
      <c r="C65" s="95"/>
      <c r="D65" s="77"/>
      <c r="E65" s="101"/>
      <c r="F65" s="89" t="str">
        <f t="shared" si="4"/>
        <v/>
      </c>
      <c r="G65" s="92"/>
      <c r="H65" s="103"/>
      <c r="I65" s="92"/>
      <c r="J65" s="93" t="b">
        <v>0</v>
      </c>
      <c r="K65" s="89"/>
      <c r="L65" s="89"/>
      <c r="M65" s="96"/>
      <c r="N65" s="96"/>
      <c r="O65" s="95"/>
      <c r="P65" s="95"/>
      <c r="Q65" s="95"/>
      <c r="R65" s="95"/>
      <c r="S65" s="95"/>
      <c r="T65" s="89" t="str">
        <f t="shared" si="5"/>
        <v/>
      </c>
      <c r="U65" s="89"/>
      <c r="V65" s="92"/>
      <c r="W65" s="92"/>
      <c r="X65" s="89"/>
      <c r="Y65" s="92"/>
      <c r="Z65" s="89"/>
      <c r="AA65" s="104"/>
      <c r="AB65" s="104"/>
      <c r="AC65" s="92"/>
      <c r="AD65" s="92"/>
      <c r="AE65" s="99"/>
      <c r="AF65" s="99"/>
    </row>
    <row r="66" ht="26.25" customHeight="1">
      <c r="B66" s="95"/>
      <c r="C66" s="95"/>
      <c r="D66" s="77"/>
      <c r="E66" s="101"/>
      <c r="F66" s="89" t="str">
        <f t="shared" si="4"/>
        <v/>
      </c>
      <c r="G66" s="92"/>
      <c r="H66" s="103"/>
      <c r="I66" s="92"/>
      <c r="J66" s="93" t="b">
        <v>0</v>
      </c>
      <c r="K66" s="89"/>
      <c r="L66" s="89"/>
      <c r="M66" s="96"/>
      <c r="N66" s="96"/>
      <c r="O66" s="95"/>
      <c r="P66" s="95"/>
      <c r="Q66" s="95"/>
      <c r="R66" s="95"/>
      <c r="S66" s="95"/>
      <c r="T66" s="89" t="str">
        <f t="shared" si="5"/>
        <v/>
      </c>
      <c r="U66" s="89"/>
      <c r="V66" s="92"/>
      <c r="W66" s="92"/>
      <c r="X66" s="89"/>
      <c r="Y66" s="92"/>
      <c r="Z66" s="89"/>
      <c r="AA66" s="104"/>
      <c r="AB66" s="104"/>
      <c r="AC66" s="92"/>
      <c r="AD66" s="92"/>
      <c r="AE66" s="99"/>
      <c r="AF66" s="99"/>
    </row>
    <row r="67" ht="26.25" customHeight="1">
      <c r="B67" s="95"/>
      <c r="C67" s="95"/>
      <c r="D67" s="77"/>
      <c r="E67" s="101"/>
      <c r="F67" s="89" t="str">
        <f t="shared" si="4"/>
        <v/>
      </c>
      <c r="G67" s="92"/>
      <c r="H67" s="103"/>
      <c r="I67" s="92"/>
      <c r="J67" s="93" t="b">
        <v>0</v>
      </c>
      <c r="K67" s="89"/>
      <c r="L67" s="89"/>
      <c r="M67" s="96"/>
      <c r="N67" s="96"/>
      <c r="O67" s="95"/>
      <c r="P67" s="95"/>
      <c r="Q67" s="95"/>
      <c r="R67" s="95"/>
      <c r="S67" s="95"/>
      <c r="T67" s="89" t="str">
        <f t="shared" si="5"/>
        <v/>
      </c>
      <c r="U67" s="89"/>
      <c r="V67" s="92"/>
      <c r="W67" s="92"/>
      <c r="X67" s="89"/>
      <c r="Y67" s="92"/>
      <c r="Z67" s="89"/>
      <c r="AA67" s="104"/>
      <c r="AB67" s="104"/>
      <c r="AC67" s="92"/>
      <c r="AD67" s="92"/>
      <c r="AE67" s="99"/>
      <c r="AF67" s="99"/>
    </row>
    <row r="68" ht="26.25" customHeight="1">
      <c r="B68" s="95"/>
      <c r="C68" s="95"/>
      <c r="D68" s="77"/>
      <c r="E68" s="101"/>
      <c r="F68" s="89" t="str">
        <f t="shared" si="4"/>
        <v/>
      </c>
      <c r="G68" s="92"/>
      <c r="H68" s="103"/>
      <c r="I68" s="92"/>
      <c r="J68" s="93" t="b">
        <v>0</v>
      </c>
      <c r="K68" s="89"/>
      <c r="L68" s="89"/>
      <c r="M68" s="96"/>
      <c r="N68" s="96"/>
      <c r="O68" s="95"/>
      <c r="P68" s="95"/>
      <c r="Q68" s="95"/>
      <c r="R68" s="95"/>
      <c r="S68" s="95"/>
      <c r="T68" s="89" t="str">
        <f t="shared" si="5"/>
        <v/>
      </c>
      <c r="U68" s="89"/>
      <c r="V68" s="92"/>
      <c r="W68" s="92"/>
      <c r="X68" s="89"/>
      <c r="Y68" s="92"/>
      <c r="Z68" s="89"/>
      <c r="AA68" s="104"/>
      <c r="AB68" s="104"/>
      <c r="AC68" s="92"/>
      <c r="AD68" s="92"/>
      <c r="AE68" s="99"/>
      <c r="AF68" s="99"/>
    </row>
    <row r="69" ht="26.25" customHeight="1">
      <c r="B69" s="95"/>
      <c r="C69" s="95"/>
      <c r="D69" s="77"/>
      <c r="E69" s="101"/>
      <c r="F69" s="89" t="str">
        <f t="shared" si="4"/>
        <v/>
      </c>
      <c r="G69" s="92"/>
      <c r="H69" s="103"/>
      <c r="I69" s="92"/>
      <c r="J69" s="93" t="b">
        <v>0</v>
      </c>
      <c r="K69" s="89"/>
      <c r="L69" s="89"/>
      <c r="M69" s="96"/>
      <c r="N69" s="96"/>
      <c r="O69" s="95"/>
      <c r="P69" s="95"/>
      <c r="Q69" s="95"/>
      <c r="R69" s="95"/>
      <c r="S69" s="95"/>
      <c r="T69" s="89" t="str">
        <f t="shared" si="5"/>
        <v/>
      </c>
      <c r="U69" s="89"/>
      <c r="V69" s="92"/>
      <c r="W69" s="92"/>
      <c r="X69" s="89"/>
      <c r="Y69" s="92"/>
      <c r="Z69" s="89"/>
      <c r="AA69" s="104"/>
      <c r="AB69" s="104"/>
      <c r="AC69" s="92"/>
      <c r="AD69" s="92"/>
      <c r="AE69" s="99"/>
      <c r="AF69" s="99"/>
    </row>
    <row r="70" ht="26.25" customHeight="1">
      <c r="B70" s="95"/>
      <c r="C70" s="95"/>
      <c r="D70" s="77"/>
      <c r="E70" s="101"/>
      <c r="F70" s="89" t="str">
        <f t="shared" ref="F70:F198" si="6">IF(G70="","",ROW()-6)</f>
        <v/>
      </c>
      <c r="G70" s="92"/>
      <c r="H70" s="103"/>
      <c r="I70" s="92"/>
      <c r="J70" s="93" t="b">
        <v>0</v>
      </c>
      <c r="K70" s="89"/>
      <c r="L70" s="89"/>
      <c r="M70" s="96"/>
      <c r="N70" s="96"/>
      <c r="O70" s="95"/>
      <c r="P70" s="95"/>
      <c r="Q70" s="95"/>
      <c r="R70" s="95"/>
      <c r="S70" s="95"/>
      <c r="T70" s="89" t="str">
        <f t="shared" si="5"/>
        <v/>
      </c>
      <c r="U70" s="89"/>
      <c r="V70" s="92"/>
      <c r="W70" s="92"/>
      <c r="X70" s="89"/>
      <c r="Y70" s="92"/>
      <c r="Z70" s="89"/>
      <c r="AA70" s="104"/>
      <c r="AB70" s="104"/>
      <c r="AC70" s="92"/>
      <c r="AD70" s="92"/>
      <c r="AE70" s="99"/>
      <c r="AF70" s="99"/>
    </row>
    <row r="71" ht="26.25" customHeight="1">
      <c r="B71" s="95"/>
      <c r="C71" s="95"/>
      <c r="D71" s="77"/>
      <c r="E71" s="101"/>
      <c r="F71" s="89" t="str">
        <f t="shared" si="6"/>
        <v/>
      </c>
      <c r="G71" s="92"/>
      <c r="H71" s="103"/>
      <c r="I71" s="92"/>
      <c r="J71" s="93" t="b">
        <v>0</v>
      </c>
      <c r="K71" s="89"/>
      <c r="L71" s="89"/>
      <c r="M71" s="96"/>
      <c r="N71" s="96"/>
      <c r="O71" s="95"/>
      <c r="P71" s="95"/>
      <c r="Q71" s="95"/>
      <c r="R71" s="95"/>
      <c r="S71" s="95"/>
      <c r="T71" s="89" t="str">
        <f t="shared" si="5"/>
        <v/>
      </c>
      <c r="U71" s="89"/>
      <c r="V71" s="92"/>
      <c r="W71" s="92"/>
      <c r="X71" s="89"/>
      <c r="Y71" s="92"/>
      <c r="Z71" s="89"/>
      <c r="AA71" s="104"/>
      <c r="AB71" s="104"/>
      <c r="AC71" s="92"/>
      <c r="AD71" s="92"/>
      <c r="AE71" s="99"/>
      <c r="AF71" s="99"/>
    </row>
    <row r="72" ht="26.25" customHeight="1">
      <c r="B72" s="95"/>
      <c r="C72" s="95"/>
      <c r="D72" s="77"/>
      <c r="E72" s="101"/>
      <c r="F72" s="89" t="str">
        <f t="shared" si="6"/>
        <v/>
      </c>
      <c r="G72" s="92"/>
      <c r="H72" s="103"/>
      <c r="I72" s="92"/>
      <c r="J72" s="93" t="b">
        <v>0</v>
      </c>
      <c r="K72" s="89"/>
      <c r="L72" s="89"/>
      <c r="M72" s="96"/>
      <c r="N72" s="96"/>
      <c r="O72" s="95"/>
      <c r="P72" s="95"/>
      <c r="Q72" s="95"/>
      <c r="R72" s="95"/>
      <c r="S72" s="95"/>
      <c r="T72" s="89" t="str">
        <f t="shared" si="5"/>
        <v/>
      </c>
      <c r="U72" s="89"/>
      <c r="V72" s="92"/>
      <c r="W72" s="92"/>
      <c r="X72" s="89"/>
      <c r="Y72" s="92"/>
      <c r="Z72" s="89"/>
      <c r="AA72" s="104"/>
      <c r="AB72" s="104"/>
      <c r="AC72" s="92"/>
      <c r="AD72" s="92"/>
      <c r="AE72" s="99"/>
      <c r="AF72" s="99"/>
    </row>
    <row r="73" ht="26.25" customHeight="1">
      <c r="B73" s="95"/>
      <c r="C73" s="95"/>
      <c r="D73" s="77"/>
      <c r="E73" s="101"/>
      <c r="F73" s="89" t="str">
        <f t="shared" si="6"/>
        <v/>
      </c>
      <c r="G73" s="92"/>
      <c r="H73" s="103"/>
      <c r="I73" s="92"/>
      <c r="J73" s="93" t="b">
        <v>0</v>
      </c>
      <c r="K73" s="89"/>
      <c r="L73" s="89"/>
      <c r="M73" s="96"/>
      <c r="N73" s="96"/>
      <c r="O73" s="95"/>
      <c r="P73" s="95"/>
      <c r="Q73" s="95"/>
      <c r="R73" s="95"/>
      <c r="S73" s="95"/>
      <c r="T73" s="89" t="str">
        <f t="shared" si="5"/>
        <v/>
      </c>
      <c r="U73" s="89"/>
      <c r="V73" s="92"/>
      <c r="W73" s="92"/>
      <c r="X73" s="89"/>
      <c r="Y73" s="92"/>
      <c r="Z73" s="89"/>
      <c r="AA73" s="104"/>
      <c r="AB73" s="104"/>
      <c r="AC73" s="92"/>
      <c r="AD73" s="92"/>
      <c r="AE73" s="99"/>
      <c r="AF73" s="99"/>
    </row>
    <row r="74" ht="26.25" customHeight="1">
      <c r="B74" s="95"/>
      <c r="C74" s="95"/>
      <c r="D74" s="77"/>
      <c r="E74" s="101"/>
      <c r="F74" s="89" t="str">
        <f t="shared" si="6"/>
        <v/>
      </c>
      <c r="G74" s="92"/>
      <c r="H74" s="103"/>
      <c r="I74" s="92"/>
      <c r="J74" s="93" t="b">
        <v>0</v>
      </c>
      <c r="K74" s="89"/>
      <c r="L74" s="89"/>
      <c r="M74" s="96"/>
      <c r="N74" s="96"/>
      <c r="O74" s="95"/>
      <c r="P74" s="95"/>
      <c r="Q74" s="95"/>
      <c r="R74" s="95"/>
      <c r="S74" s="95"/>
      <c r="T74" s="89" t="str">
        <f t="shared" si="5"/>
        <v/>
      </c>
      <c r="U74" s="89"/>
      <c r="V74" s="92"/>
      <c r="W74" s="92"/>
      <c r="X74" s="89"/>
      <c r="Y74" s="92"/>
      <c r="Z74" s="89"/>
      <c r="AA74" s="104"/>
      <c r="AB74" s="104"/>
      <c r="AC74" s="92"/>
      <c r="AD74" s="92"/>
      <c r="AE74" s="99"/>
      <c r="AF74" s="99"/>
    </row>
    <row r="75" ht="26.25" customHeight="1">
      <c r="B75" s="95"/>
      <c r="C75" s="95"/>
      <c r="D75" s="77"/>
      <c r="E75" s="101"/>
      <c r="F75" s="89" t="str">
        <f t="shared" si="6"/>
        <v/>
      </c>
      <c r="G75" s="92"/>
      <c r="H75" s="103"/>
      <c r="I75" s="92"/>
      <c r="J75" s="93" t="b">
        <v>0</v>
      </c>
      <c r="K75" s="89"/>
      <c r="L75" s="89"/>
      <c r="M75" s="96"/>
      <c r="N75" s="96"/>
      <c r="O75" s="95"/>
      <c r="P75" s="95"/>
      <c r="Q75" s="95"/>
      <c r="R75" s="95"/>
      <c r="S75" s="95"/>
      <c r="T75" s="89" t="str">
        <f t="shared" si="5"/>
        <v/>
      </c>
      <c r="U75" s="89"/>
      <c r="V75" s="92"/>
      <c r="W75" s="92"/>
      <c r="X75" s="89"/>
      <c r="Y75" s="92"/>
      <c r="Z75" s="89"/>
      <c r="AA75" s="104"/>
      <c r="AB75" s="104"/>
      <c r="AC75" s="92"/>
      <c r="AD75" s="92"/>
      <c r="AE75" s="99"/>
      <c r="AF75" s="99"/>
    </row>
    <row r="76" ht="26.25" customHeight="1">
      <c r="B76" s="95"/>
      <c r="C76" s="95"/>
      <c r="D76" s="77"/>
      <c r="E76" s="101"/>
      <c r="F76" s="89" t="str">
        <f t="shared" si="6"/>
        <v/>
      </c>
      <c r="G76" s="92"/>
      <c r="H76" s="103"/>
      <c r="I76" s="92"/>
      <c r="J76" s="93" t="b">
        <v>0</v>
      </c>
      <c r="K76" s="89"/>
      <c r="L76" s="89"/>
      <c r="M76" s="96"/>
      <c r="N76" s="96"/>
      <c r="O76" s="95"/>
      <c r="P76" s="95"/>
      <c r="Q76" s="95"/>
      <c r="R76" s="95"/>
      <c r="S76" s="95"/>
      <c r="T76" s="89" t="str">
        <f t="shared" si="5"/>
        <v/>
      </c>
      <c r="U76" s="89"/>
      <c r="V76" s="92"/>
      <c r="W76" s="92"/>
      <c r="X76" s="89"/>
      <c r="Y76" s="92"/>
      <c r="Z76" s="89"/>
      <c r="AA76" s="104"/>
      <c r="AB76" s="104"/>
      <c r="AC76" s="92"/>
      <c r="AD76" s="92"/>
      <c r="AE76" s="99"/>
      <c r="AF76" s="99"/>
    </row>
    <row r="77" ht="26.25" customHeight="1">
      <c r="B77" s="95"/>
      <c r="C77" s="95"/>
      <c r="D77" s="77"/>
      <c r="E77" s="101"/>
      <c r="F77" s="89" t="str">
        <f t="shared" si="6"/>
        <v/>
      </c>
      <c r="G77" s="92"/>
      <c r="H77" s="103"/>
      <c r="I77" s="92"/>
      <c r="J77" s="93" t="b">
        <v>0</v>
      </c>
      <c r="K77" s="89"/>
      <c r="L77" s="89"/>
      <c r="M77" s="96"/>
      <c r="N77" s="96"/>
      <c r="O77" s="95"/>
      <c r="P77" s="95"/>
      <c r="Q77" s="95"/>
      <c r="R77" s="95"/>
      <c r="S77" s="95"/>
      <c r="T77" s="89" t="str">
        <f t="shared" si="5"/>
        <v/>
      </c>
      <c r="U77" s="89"/>
      <c r="V77" s="92"/>
      <c r="W77" s="92"/>
      <c r="X77" s="89"/>
      <c r="Y77" s="92"/>
      <c r="Z77" s="89"/>
      <c r="AA77" s="104"/>
      <c r="AB77" s="104"/>
      <c r="AC77" s="92"/>
      <c r="AD77" s="92"/>
      <c r="AE77" s="99"/>
      <c r="AF77" s="99"/>
    </row>
    <row r="78" ht="26.25" customHeight="1">
      <c r="B78" s="95"/>
      <c r="C78" s="95"/>
      <c r="D78" s="77"/>
      <c r="E78" s="101"/>
      <c r="F78" s="89" t="str">
        <f t="shared" si="6"/>
        <v/>
      </c>
      <c r="G78" s="92"/>
      <c r="H78" s="103"/>
      <c r="I78" s="92"/>
      <c r="J78" s="93" t="b">
        <v>0</v>
      </c>
      <c r="K78" s="89"/>
      <c r="L78" s="89"/>
      <c r="M78" s="96"/>
      <c r="N78" s="96"/>
      <c r="O78" s="95"/>
      <c r="P78" s="95"/>
      <c r="Q78" s="95"/>
      <c r="R78" s="95"/>
      <c r="S78" s="95"/>
      <c r="T78" s="89" t="str">
        <f t="shared" si="5"/>
        <v/>
      </c>
      <c r="U78" s="89"/>
      <c r="V78" s="92"/>
      <c r="W78" s="92"/>
      <c r="X78" s="89"/>
      <c r="Y78" s="92"/>
      <c r="Z78" s="89"/>
      <c r="AA78" s="104"/>
      <c r="AB78" s="104"/>
      <c r="AC78" s="92"/>
      <c r="AD78" s="92"/>
      <c r="AE78" s="99"/>
      <c r="AF78" s="99"/>
    </row>
    <row r="79" ht="26.25" customHeight="1">
      <c r="B79" s="95"/>
      <c r="C79" s="95"/>
      <c r="D79" s="77"/>
      <c r="E79" s="101"/>
      <c r="F79" s="89" t="str">
        <f t="shared" si="6"/>
        <v/>
      </c>
      <c r="G79" s="92"/>
      <c r="H79" s="103"/>
      <c r="I79" s="92"/>
      <c r="J79" s="93" t="b">
        <v>0</v>
      </c>
      <c r="K79" s="89"/>
      <c r="L79" s="89"/>
      <c r="M79" s="96"/>
      <c r="N79" s="96"/>
      <c r="O79" s="95"/>
      <c r="P79" s="95"/>
      <c r="Q79" s="95"/>
      <c r="R79" s="95"/>
      <c r="S79" s="95"/>
      <c r="T79" s="89" t="str">
        <f t="shared" si="5"/>
        <v/>
      </c>
      <c r="U79" s="89"/>
      <c r="V79" s="92"/>
      <c r="W79" s="92"/>
      <c r="X79" s="89"/>
      <c r="Y79" s="92"/>
      <c r="Z79" s="89"/>
      <c r="AA79" s="104"/>
      <c r="AB79" s="104"/>
      <c r="AC79" s="92"/>
      <c r="AD79" s="92"/>
      <c r="AE79" s="99"/>
      <c r="AF79" s="99"/>
    </row>
    <row r="80" ht="26.25" customHeight="1">
      <c r="B80" s="95"/>
      <c r="C80" s="95"/>
      <c r="D80" s="77"/>
      <c r="E80" s="101"/>
      <c r="F80" s="89" t="str">
        <f t="shared" si="6"/>
        <v/>
      </c>
      <c r="G80" s="92"/>
      <c r="H80" s="103"/>
      <c r="I80" s="92"/>
      <c r="J80" s="93" t="b">
        <v>0</v>
      </c>
      <c r="K80" s="89"/>
      <c r="L80" s="89"/>
      <c r="M80" s="96"/>
      <c r="N80" s="96"/>
      <c r="O80" s="95"/>
      <c r="P80" s="95"/>
      <c r="Q80" s="95"/>
      <c r="R80" s="95"/>
      <c r="S80" s="95"/>
      <c r="T80" s="89" t="str">
        <f t="shared" si="5"/>
        <v/>
      </c>
      <c r="U80" s="89"/>
      <c r="V80" s="92"/>
      <c r="W80" s="92"/>
      <c r="X80" s="89"/>
      <c r="Y80" s="92"/>
      <c r="Z80" s="89"/>
      <c r="AA80" s="104"/>
      <c r="AB80" s="104"/>
      <c r="AC80" s="92"/>
      <c r="AD80" s="92"/>
      <c r="AE80" s="99"/>
      <c r="AF80" s="99"/>
    </row>
    <row r="81" ht="26.25" customHeight="1">
      <c r="B81" s="95"/>
      <c r="C81" s="95"/>
      <c r="D81" s="77"/>
      <c r="E81" s="101"/>
      <c r="F81" s="89" t="str">
        <f t="shared" si="6"/>
        <v/>
      </c>
      <c r="G81" s="92"/>
      <c r="H81" s="103"/>
      <c r="I81" s="92"/>
      <c r="J81" s="93" t="b">
        <v>0</v>
      </c>
      <c r="K81" s="89"/>
      <c r="L81" s="89"/>
      <c r="M81" s="96"/>
      <c r="N81" s="96"/>
      <c r="O81" s="95"/>
      <c r="P81" s="95"/>
      <c r="Q81" s="95"/>
      <c r="R81" s="95"/>
      <c r="S81" s="95"/>
      <c r="T81" s="89" t="str">
        <f t="shared" si="5"/>
        <v/>
      </c>
      <c r="U81" s="89"/>
      <c r="V81" s="92"/>
      <c r="W81" s="92"/>
      <c r="X81" s="89"/>
      <c r="Y81" s="92"/>
      <c r="Z81" s="89"/>
      <c r="AA81" s="104"/>
      <c r="AB81" s="104"/>
      <c r="AC81" s="92"/>
      <c r="AD81" s="92"/>
      <c r="AE81" s="99"/>
      <c r="AF81" s="99"/>
    </row>
    <row r="82" ht="26.25" customHeight="1">
      <c r="B82" s="95"/>
      <c r="C82" s="95"/>
      <c r="D82" s="77"/>
      <c r="E82" s="101"/>
      <c r="F82" s="89" t="str">
        <f t="shared" si="6"/>
        <v/>
      </c>
      <c r="G82" s="92"/>
      <c r="H82" s="103"/>
      <c r="I82" s="92"/>
      <c r="J82" s="93" t="b">
        <v>0</v>
      </c>
      <c r="K82" s="89"/>
      <c r="L82" s="89"/>
      <c r="M82" s="96"/>
      <c r="N82" s="96"/>
      <c r="O82" s="95"/>
      <c r="P82" s="95"/>
      <c r="Q82" s="95"/>
      <c r="R82" s="95"/>
      <c r="S82" s="95"/>
      <c r="T82" s="89" t="str">
        <f t="shared" si="5"/>
        <v/>
      </c>
      <c r="U82" s="89"/>
      <c r="V82" s="92"/>
      <c r="W82" s="92"/>
      <c r="X82" s="89"/>
      <c r="Y82" s="92"/>
      <c r="Z82" s="89"/>
      <c r="AA82" s="104"/>
      <c r="AB82" s="104"/>
      <c r="AC82" s="92"/>
      <c r="AD82" s="92"/>
      <c r="AE82" s="99"/>
      <c r="AF82" s="99"/>
    </row>
    <row r="83" ht="26.25" customHeight="1">
      <c r="B83" s="95"/>
      <c r="C83" s="95"/>
      <c r="D83" s="77"/>
      <c r="E83" s="101"/>
      <c r="F83" s="89" t="str">
        <f t="shared" si="6"/>
        <v/>
      </c>
      <c r="G83" s="92"/>
      <c r="H83" s="103"/>
      <c r="I83" s="92"/>
      <c r="J83" s="93" t="b">
        <v>0</v>
      </c>
      <c r="K83" s="89"/>
      <c r="L83" s="89"/>
      <c r="M83" s="96"/>
      <c r="N83" s="96"/>
      <c r="O83" s="95"/>
      <c r="P83" s="95"/>
      <c r="Q83" s="95"/>
      <c r="R83" s="95"/>
      <c r="S83" s="95"/>
      <c r="T83" s="89" t="str">
        <f t="shared" si="5"/>
        <v/>
      </c>
      <c r="U83" s="89"/>
      <c r="V83" s="92"/>
      <c r="W83" s="92"/>
      <c r="X83" s="89"/>
      <c r="Y83" s="92"/>
      <c r="Z83" s="89"/>
      <c r="AA83" s="104"/>
      <c r="AB83" s="104"/>
      <c r="AC83" s="92"/>
      <c r="AD83" s="92"/>
      <c r="AE83" s="99"/>
      <c r="AF83" s="99"/>
    </row>
    <row r="84" ht="26.25" customHeight="1">
      <c r="B84" s="95"/>
      <c r="C84" s="95"/>
      <c r="D84" s="77"/>
      <c r="E84" s="101"/>
      <c r="F84" s="89" t="str">
        <f t="shared" si="6"/>
        <v/>
      </c>
      <c r="G84" s="92"/>
      <c r="H84" s="103"/>
      <c r="I84" s="92"/>
      <c r="J84" s="93" t="b">
        <v>0</v>
      </c>
      <c r="K84" s="89"/>
      <c r="L84" s="89"/>
      <c r="M84" s="96"/>
      <c r="N84" s="96"/>
      <c r="O84" s="95"/>
      <c r="P84" s="95"/>
      <c r="Q84" s="95"/>
      <c r="R84" s="95"/>
      <c r="S84" s="95"/>
      <c r="T84" s="89" t="str">
        <f t="shared" si="5"/>
        <v/>
      </c>
      <c r="U84" s="89"/>
      <c r="V84" s="92"/>
      <c r="W84" s="92"/>
      <c r="X84" s="89"/>
      <c r="Y84" s="92"/>
      <c r="Z84" s="89"/>
      <c r="AA84" s="104"/>
      <c r="AB84" s="104"/>
      <c r="AC84" s="92"/>
      <c r="AD84" s="92"/>
      <c r="AE84" s="99"/>
      <c r="AF84" s="99"/>
    </row>
    <row r="85" ht="26.25" customHeight="1">
      <c r="B85" s="95"/>
      <c r="C85" s="95"/>
      <c r="D85" s="77"/>
      <c r="E85" s="101"/>
      <c r="F85" s="89" t="str">
        <f t="shared" si="6"/>
        <v/>
      </c>
      <c r="G85" s="92"/>
      <c r="H85" s="103"/>
      <c r="I85" s="92"/>
      <c r="J85" s="93" t="b">
        <v>0</v>
      </c>
      <c r="K85" s="89"/>
      <c r="L85" s="89"/>
      <c r="M85" s="96"/>
      <c r="N85" s="96"/>
      <c r="O85" s="95"/>
      <c r="P85" s="95"/>
      <c r="Q85" s="95"/>
      <c r="R85" s="95"/>
      <c r="S85" s="95"/>
      <c r="T85" s="89" t="str">
        <f t="shared" si="5"/>
        <v/>
      </c>
      <c r="U85" s="89"/>
      <c r="V85" s="92"/>
      <c r="W85" s="92"/>
      <c r="X85" s="89"/>
      <c r="Y85" s="92"/>
      <c r="Z85" s="89"/>
      <c r="AA85" s="104"/>
      <c r="AB85" s="104"/>
      <c r="AC85" s="92"/>
      <c r="AD85" s="92"/>
      <c r="AE85" s="99"/>
      <c r="AF85" s="99"/>
    </row>
    <row r="86" ht="26.25" customHeight="1">
      <c r="B86" s="95"/>
      <c r="C86" s="95"/>
      <c r="D86" s="77"/>
      <c r="E86" s="101"/>
      <c r="F86" s="89" t="str">
        <f t="shared" si="6"/>
        <v/>
      </c>
      <c r="G86" s="92"/>
      <c r="H86" s="103"/>
      <c r="I86" s="92"/>
      <c r="J86" s="93" t="b">
        <v>0</v>
      </c>
      <c r="K86" s="89"/>
      <c r="L86" s="89"/>
      <c r="M86" s="96"/>
      <c r="N86" s="96"/>
      <c r="O86" s="95"/>
      <c r="P86" s="95"/>
      <c r="Q86" s="95"/>
      <c r="R86" s="95"/>
      <c r="S86" s="95"/>
      <c r="T86" s="89" t="str">
        <f t="shared" si="5"/>
        <v/>
      </c>
      <c r="U86" s="89"/>
      <c r="V86" s="92"/>
      <c r="W86" s="92"/>
      <c r="X86" s="89"/>
      <c r="Y86" s="92"/>
      <c r="Z86" s="89"/>
      <c r="AA86" s="104"/>
      <c r="AB86" s="104"/>
      <c r="AC86" s="92"/>
      <c r="AD86" s="92"/>
      <c r="AE86" s="99"/>
      <c r="AF86" s="99"/>
    </row>
    <row r="87" ht="26.25" customHeight="1">
      <c r="B87" s="95"/>
      <c r="C87" s="95"/>
      <c r="D87" s="77"/>
      <c r="E87" s="101"/>
      <c r="F87" s="89" t="str">
        <f t="shared" si="6"/>
        <v/>
      </c>
      <c r="G87" s="92"/>
      <c r="H87" s="103"/>
      <c r="I87" s="92"/>
      <c r="J87" s="93" t="b">
        <v>0</v>
      </c>
      <c r="K87" s="89"/>
      <c r="L87" s="89"/>
      <c r="M87" s="96"/>
      <c r="N87" s="96"/>
      <c r="O87" s="95"/>
      <c r="P87" s="95"/>
      <c r="Q87" s="95"/>
      <c r="R87" s="95"/>
      <c r="S87" s="95"/>
      <c r="T87" s="89" t="str">
        <f t="shared" si="5"/>
        <v/>
      </c>
      <c r="U87" s="89"/>
      <c r="V87" s="92"/>
      <c r="W87" s="92"/>
      <c r="X87" s="89"/>
      <c r="Y87" s="92"/>
      <c r="Z87" s="89"/>
      <c r="AA87" s="104"/>
      <c r="AB87" s="104"/>
      <c r="AC87" s="92"/>
      <c r="AD87" s="92"/>
      <c r="AE87" s="99"/>
      <c r="AF87" s="99"/>
    </row>
    <row r="88" ht="26.25" customHeight="1">
      <c r="B88" s="95"/>
      <c r="C88" s="95"/>
      <c r="D88" s="77"/>
      <c r="E88" s="101"/>
      <c r="F88" s="89" t="str">
        <f t="shared" si="6"/>
        <v/>
      </c>
      <c r="G88" s="92"/>
      <c r="H88" s="103"/>
      <c r="I88" s="92"/>
      <c r="J88" s="93" t="b">
        <v>0</v>
      </c>
      <c r="K88" s="89"/>
      <c r="L88" s="89"/>
      <c r="M88" s="96"/>
      <c r="N88" s="96"/>
      <c r="O88" s="95"/>
      <c r="P88" s="95"/>
      <c r="Q88" s="95"/>
      <c r="R88" s="95"/>
      <c r="S88" s="95"/>
      <c r="T88" s="89" t="str">
        <f t="shared" si="5"/>
        <v/>
      </c>
      <c r="U88" s="89"/>
      <c r="V88" s="92"/>
      <c r="W88" s="92"/>
      <c r="X88" s="89"/>
      <c r="Y88" s="92"/>
      <c r="Z88" s="89"/>
      <c r="AA88" s="104"/>
      <c r="AB88" s="104"/>
      <c r="AC88" s="92"/>
      <c r="AD88" s="92"/>
      <c r="AE88" s="99"/>
      <c r="AF88" s="99"/>
    </row>
    <row r="89" ht="26.25" customHeight="1">
      <c r="B89" s="95"/>
      <c r="C89" s="95"/>
      <c r="D89" s="77"/>
      <c r="E89" s="101"/>
      <c r="F89" s="89" t="str">
        <f t="shared" si="6"/>
        <v/>
      </c>
      <c r="G89" s="92"/>
      <c r="H89" s="103"/>
      <c r="I89" s="92"/>
      <c r="J89" s="93" t="b">
        <v>0</v>
      </c>
      <c r="K89" s="89"/>
      <c r="L89" s="89"/>
      <c r="M89" s="96"/>
      <c r="N89" s="96"/>
      <c r="O89" s="95"/>
      <c r="P89" s="95"/>
      <c r="Q89" s="95"/>
      <c r="R89" s="95"/>
      <c r="S89" s="95"/>
      <c r="T89" s="89" t="str">
        <f t="shared" si="5"/>
        <v/>
      </c>
      <c r="U89" s="89"/>
      <c r="V89" s="92"/>
      <c r="W89" s="92"/>
      <c r="X89" s="89"/>
      <c r="Y89" s="92"/>
      <c r="Z89" s="89"/>
      <c r="AA89" s="104"/>
      <c r="AB89" s="104"/>
      <c r="AC89" s="92"/>
      <c r="AD89" s="92"/>
      <c r="AE89" s="99"/>
      <c r="AF89" s="99"/>
    </row>
    <row r="90" ht="26.25" customHeight="1">
      <c r="B90" s="95"/>
      <c r="C90" s="95"/>
      <c r="D90" s="77"/>
      <c r="E90" s="101"/>
      <c r="F90" s="89" t="str">
        <f t="shared" si="6"/>
        <v/>
      </c>
      <c r="G90" s="92"/>
      <c r="H90" s="103"/>
      <c r="I90" s="92"/>
      <c r="J90" s="93" t="b">
        <v>0</v>
      </c>
      <c r="K90" s="89"/>
      <c r="L90" s="89"/>
      <c r="M90" s="96"/>
      <c r="N90" s="96"/>
      <c r="O90" s="95"/>
      <c r="P90" s="95"/>
      <c r="Q90" s="95"/>
      <c r="R90" s="95"/>
      <c r="S90" s="95"/>
      <c r="T90" s="89" t="str">
        <f t="shared" si="5"/>
        <v/>
      </c>
      <c r="U90" s="89"/>
      <c r="V90" s="92"/>
      <c r="W90" s="92"/>
      <c r="X90" s="89"/>
      <c r="Y90" s="92"/>
      <c r="Z90" s="89"/>
      <c r="AA90" s="104"/>
      <c r="AB90" s="104"/>
      <c r="AC90" s="92"/>
      <c r="AD90" s="92"/>
      <c r="AE90" s="99"/>
      <c r="AF90" s="99"/>
    </row>
    <row r="91" ht="26.25" customHeight="1">
      <c r="B91" s="95"/>
      <c r="C91" s="95"/>
      <c r="D91" s="77"/>
      <c r="E91" s="101"/>
      <c r="F91" s="89" t="str">
        <f t="shared" si="6"/>
        <v/>
      </c>
      <c r="G91" s="92"/>
      <c r="H91" s="103"/>
      <c r="I91" s="92"/>
      <c r="J91" s="93" t="b">
        <v>0</v>
      </c>
      <c r="K91" s="89"/>
      <c r="L91" s="89"/>
      <c r="M91" s="96"/>
      <c r="N91" s="96"/>
      <c r="O91" s="95"/>
      <c r="P91" s="95"/>
      <c r="Q91" s="95"/>
      <c r="R91" s="95"/>
      <c r="S91" s="95"/>
      <c r="T91" s="89" t="str">
        <f t="shared" si="5"/>
        <v/>
      </c>
      <c r="U91" s="89"/>
      <c r="V91" s="92"/>
      <c r="W91" s="92"/>
      <c r="X91" s="89"/>
      <c r="Y91" s="92"/>
      <c r="Z91" s="89"/>
      <c r="AA91" s="104"/>
      <c r="AB91" s="104"/>
      <c r="AC91" s="92"/>
      <c r="AD91" s="92"/>
      <c r="AE91" s="99"/>
      <c r="AF91" s="99"/>
    </row>
    <row r="92" ht="26.25" customHeight="1">
      <c r="B92" s="95"/>
      <c r="C92" s="95"/>
      <c r="D92" s="77"/>
      <c r="E92" s="101"/>
      <c r="F92" s="89" t="str">
        <f t="shared" si="6"/>
        <v/>
      </c>
      <c r="G92" s="92"/>
      <c r="H92" s="103"/>
      <c r="I92" s="92"/>
      <c r="J92" s="93" t="b">
        <v>0</v>
      </c>
      <c r="K92" s="89"/>
      <c r="L92" s="89"/>
      <c r="M92" s="96"/>
      <c r="N92" s="96"/>
      <c r="O92" s="95"/>
      <c r="P92" s="95"/>
      <c r="Q92" s="95"/>
      <c r="R92" s="95"/>
      <c r="S92" s="95"/>
      <c r="T92" s="89" t="str">
        <f t="shared" si="5"/>
        <v/>
      </c>
      <c r="U92" s="89"/>
      <c r="V92" s="92"/>
      <c r="W92" s="92"/>
      <c r="X92" s="89"/>
      <c r="Y92" s="92"/>
      <c r="Z92" s="89"/>
      <c r="AA92" s="104"/>
      <c r="AB92" s="104"/>
      <c r="AC92" s="92"/>
      <c r="AD92" s="92"/>
      <c r="AE92" s="99"/>
      <c r="AF92" s="99"/>
    </row>
    <row r="93" ht="26.25" customHeight="1">
      <c r="B93" s="95"/>
      <c r="C93" s="95"/>
      <c r="D93" s="77"/>
      <c r="E93" s="101"/>
      <c r="F93" s="89" t="str">
        <f t="shared" si="6"/>
        <v/>
      </c>
      <c r="G93" s="92"/>
      <c r="H93" s="103"/>
      <c r="I93" s="92"/>
      <c r="J93" s="93" t="b">
        <v>0</v>
      </c>
      <c r="K93" s="89"/>
      <c r="L93" s="89"/>
      <c r="M93" s="96"/>
      <c r="N93" s="96"/>
      <c r="O93" s="95"/>
      <c r="P93" s="95"/>
      <c r="Q93" s="95"/>
      <c r="R93" s="95"/>
      <c r="S93" s="95"/>
      <c r="T93" s="89" t="str">
        <f t="shared" si="5"/>
        <v/>
      </c>
      <c r="U93" s="89"/>
      <c r="V93" s="92"/>
      <c r="W93" s="92"/>
      <c r="X93" s="89"/>
      <c r="Y93" s="92"/>
      <c r="Z93" s="89"/>
      <c r="AA93" s="104"/>
      <c r="AB93" s="104"/>
      <c r="AC93" s="92"/>
      <c r="AD93" s="92"/>
      <c r="AE93" s="99"/>
      <c r="AF93" s="99"/>
    </row>
    <row r="94" ht="26.25" customHeight="1">
      <c r="B94" s="95"/>
      <c r="C94" s="95"/>
      <c r="D94" s="77"/>
      <c r="E94" s="101"/>
      <c r="F94" s="89" t="str">
        <f t="shared" si="6"/>
        <v/>
      </c>
      <c r="G94" s="92"/>
      <c r="H94" s="103"/>
      <c r="I94" s="92"/>
      <c r="J94" s="93" t="b">
        <v>0</v>
      </c>
      <c r="K94" s="89"/>
      <c r="L94" s="89"/>
      <c r="M94" s="96"/>
      <c r="N94" s="96"/>
      <c r="O94" s="95"/>
      <c r="P94" s="95"/>
      <c r="Q94" s="95"/>
      <c r="R94" s="95"/>
      <c r="S94" s="95"/>
      <c r="T94" s="89" t="str">
        <f t="shared" si="5"/>
        <v/>
      </c>
      <c r="U94" s="89"/>
      <c r="V94" s="92"/>
      <c r="W94" s="92"/>
      <c r="X94" s="89"/>
      <c r="Y94" s="92"/>
      <c r="Z94" s="89"/>
      <c r="AA94" s="104"/>
      <c r="AB94" s="104"/>
      <c r="AC94" s="92"/>
      <c r="AD94" s="92"/>
      <c r="AE94" s="99"/>
      <c r="AF94" s="99"/>
    </row>
    <row r="95" ht="26.25" customHeight="1">
      <c r="B95" s="95"/>
      <c r="C95" s="95"/>
      <c r="D95" s="77"/>
      <c r="E95" s="101"/>
      <c r="F95" s="89" t="str">
        <f t="shared" si="6"/>
        <v/>
      </c>
      <c r="G95" s="92"/>
      <c r="H95" s="103"/>
      <c r="I95" s="92"/>
      <c r="J95" s="93" t="b">
        <v>0</v>
      </c>
      <c r="K95" s="89"/>
      <c r="L95" s="89"/>
      <c r="M95" s="96"/>
      <c r="N95" s="96"/>
      <c r="O95" s="95"/>
      <c r="P95" s="95"/>
      <c r="Q95" s="95"/>
      <c r="R95" s="95"/>
      <c r="S95" s="95"/>
      <c r="T95" s="89" t="str">
        <f t="shared" si="5"/>
        <v/>
      </c>
      <c r="U95" s="89"/>
      <c r="V95" s="92"/>
      <c r="W95" s="92"/>
      <c r="X95" s="89"/>
      <c r="Y95" s="92"/>
      <c r="Z95" s="89"/>
      <c r="AA95" s="104"/>
      <c r="AB95" s="104"/>
      <c r="AC95" s="92"/>
      <c r="AD95" s="92"/>
      <c r="AE95" s="99"/>
      <c r="AF95" s="99"/>
    </row>
    <row r="96" ht="26.25" customHeight="1">
      <c r="B96" s="95"/>
      <c r="C96" s="95"/>
      <c r="D96" s="77"/>
      <c r="E96" s="101"/>
      <c r="F96" s="89" t="str">
        <f t="shared" si="6"/>
        <v/>
      </c>
      <c r="G96" s="92"/>
      <c r="H96" s="103"/>
      <c r="I96" s="92"/>
      <c r="J96" s="93" t="b">
        <v>0</v>
      </c>
      <c r="K96" s="89"/>
      <c r="L96" s="89"/>
      <c r="M96" s="96"/>
      <c r="N96" s="96"/>
      <c r="O96" s="95"/>
      <c r="P96" s="95"/>
      <c r="Q96" s="95"/>
      <c r="R96" s="95"/>
      <c r="S96" s="95"/>
      <c r="T96" s="89" t="str">
        <f t="shared" si="5"/>
        <v/>
      </c>
      <c r="U96" s="89"/>
      <c r="V96" s="92"/>
      <c r="W96" s="92"/>
      <c r="X96" s="89"/>
      <c r="Y96" s="92"/>
      <c r="Z96" s="89"/>
      <c r="AA96" s="104"/>
      <c r="AB96" s="104"/>
      <c r="AC96" s="92"/>
      <c r="AD96" s="92"/>
      <c r="AE96" s="99"/>
      <c r="AF96" s="99"/>
    </row>
    <row r="97" ht="26.25" customHeight="1">
      <c r="B97" s="95"/>
      <c r="C97" s="95"/>
      <c r="D97" s="77"/>
      <c r="E97" s="101"/>
      <c r="F97" s="89" t="str">
        <f t="shared" si="6"/>
        <v/>
      </c>
      <c r="G97" s="92"/>
      <c r="H97" s="103"/>
      <c r="I97" s="92"/>
      <c r="J97" s="93" t="b">
        <v>0</v>
      </c>
      <c r="K97" s="89"/>
      <c r="L97" s="89"/>
      <c r="M97" s="96"/>
      <c r="N97" s="96"/>
      <c r="O97" s="95"/>
      <c r="P97" s="95"/>
      <c r="Q97" s="95"/>
      <c r="R97" s="95"/>
      <c r="S97" s="95"/>
      <c r="T97" s="89" t="str">
        <f t="shared" si="5"/>
        <v/>
      </c>
      <c r="U97" s="89"/>
      <c r="V97" s="92"/>
      <c r="W97" s="92"/>
      <c r="X97" s="89"/>
      <c r="Y97" s="92"/>
      <c r="Z97" s="89"/>
      <c r="AA97" s="104"/>
      <c r="AB97" s="104"/>
      <c r="AC97" s="92"/>
      <c r="AD97" s="92"/>
      <c r="AE97" s="99"/>
      <c r="AF97" s="99"/>
    </row>
    <row r="98" ht="26.25" customHeight="1">
      <c r="B98" s="95"/>
      <c r="C98" s="95"/>
      <c r="D98" s="77"/>
      <c r="E98" s="101"/>
      <c r="F98" s="89" t="str">
        <f t="shared" si="6"/>
        <v/>
      </c>
      <c r="G98" s="92"/>
      <c r="H98" s="103"/>
      <c r="I98" s="92"/>
      <c r="J98" s="93" t="b">
        <v>0</v>
      </c>
      <c r="K98" s="89"/>
      <c r="L98" s="89"/>
      <c r="M98" s="96"/>
      <c r="N98" s="96"/>
      <c r="O98" s="95"/>
      <c r="P98" s="95"/>
      <c r="Q98" s="95"/>
      <c r="R98" s="95"/>
      <c r="S98" s="95"/>
      <c r="T98" s="89" t="str">
        <f t="shared" si="5"/>
        <v/>
      </c>
      <c r="U98" s="89"/>
      <c r="V98" s="92"/>
      <c r="W98" s="92"/>
      <c r="X98" s="89"/>
      <c r="Y98" s="92"/>
      <c r="Z98" s="89"/>
      <c r="AA98" s="104"/>
      <c r="AB98" s="104"/>
      <c r="AC98" s="92"/>
      <c r="AD98" s="92"/>
      <c r="AE98" s="99"/>
      <c r="AF98" s="99"/>
    </row>
    <row r="99" ht="26.25" customHeight="1">
      <c r="B99" s="95"/>
      <c r="C99" s="95"/>
      <c r="D99" s="77"/>
      <c r="E99" s="101"/>
      <c r="F99" s="89" t="str">
        <f t="shared" si="6"/>
        <v/>
      </c>
      <c r="G99" s="92"/>
      <c r="H99" s="103"/>
      <c r="I99" s="92"/>
      <c r="J99" s="93" t="b">
        <v>0</v>
      </c>
      <c r="K99" s="89"/>
      <c r="L99" s="89"/>
      <c r="M99" s="96"/>
      <c r="N99" s="96"/>
      <c r="O99" s="95"/>
      <c r="P99" s="95"/>
      <c r="Q99" s="95"/>
      <c r="R99" s="95"/>
      <c r="S99" s="95"/>
      <c r="T99" s="89" t="str">
        <f t="shared" si="5"/>
        <v/>
      </c>
      <c r="U99" s="89"/>
      <c r="V99" s="92"/>
      <c r="W99" s="92"/>
      <c r="X99" s="89"/>
      <c r="Y99" s="92"/>
      <c r="Z99" s="89"/>
      <c r="AA99" s="104"/>
      <c r="AB99" s="104"/>
      <c r="AC99" s="92"/>
      <c r="AD99" s="92"/>
      <c r="AE99" s="99"/>
      <c r="AF99" s="99"/>
    </row>
    <row r="100" ht="26.25" customHeight="1">
      <c r="B100" s="95"/>
      <c r="C100" s="95"/>
      <c r="D100" s="77"/>
      <c r="E100" s="101"/>
      <c r="F100" s="89" t="str">
        <f t="shared" si="6"/>
        <v/>
      </c>
      <c r="G100" s="92"/>
      <c r="H100" s="103"/>
      <c r="I100" s="92"/>
      <c r="J100" s="93" t="b">
        <v>0</v>
      </c>
      <c r="K100" s="89"/>
      <c r="L100" s="89"/>
      <c r="M100" s="96"/>
      <c r="N100" s="96"/>
      <c r="O100" s="95"/>
      <c r="P100" s="95"/>
      <c r="Q100" s="95"/>
      <c r="R100" s="95"/>
      <c r="S100" s="95"/>
      <c r="T100" s="89" t="str">
        <f t="shared" si="5"/>
        <v/>
      </c>
      <c r="U100" s="89"/>
      <c r="V100" s="92"/>
      <c r="W100" s="92"/>
      <c r="X100" s="89"/>
      <c r="Y100" s="92"/>
      <c r="Z100" s="89"/>
      <c r="AA100" s="104"/>
      <c r="AB100" s="104"/>
      <c r="AC100" s="92"/>
      <c r="AD100" s="92"/>
      <c r="AE100" s="99"/>
      <c r="AF100" s="99"/>
    </row>
    <row r="101" ht="15.75" customHeight="1">
      <c r="E101" s="112"/>
      <c r="F101" s="52" t="str">
        <f t="shared" si="6"/>
        <v/>
      </c>
      <c r="G101" s="52"/>
      <c r="H101" s="52"/>
      <c r="I101" s="52"/>
      <c r="J101" s="52"/>
      <c r="K101" s="52"/>
      <c r="L101" s="52"/>
      <c r="M101" s="113"/>
      <c r="N101" s="113"/>
      <c r="T101" s="52" t="str">
        <f t="shared" si="5"/>
        <v/>
      </c>
      <c r="U101" s="52"/>
      <c r="V101" s="52"/>
      <c r="W101" s="52"/>
      <c r="X101" s="52"/>
      <c r="Y101" s="52"/>
      <c r="Z101" s="114"/>
      <c r="AA101" s="56"/>
      <c r="AB101" s="115"/>
      <c r="AC101" s="116"/>
    </row>
    <row r="102" ht="15.75" customHeight="1">
      <c r="E102" s="112"/>
      <c r="F102" s="52" t="str">
        <f t="shared" si="6"/>
        <v/>
      </c>
      <c r="G102" s="52"/>
      <c r="H102" s="52"/>
      <c r="I102" s="52"/>
      <c r="J102" s="52"/>
      <c r="K102" s="52"/>
      <c r="L102" s="52"/>
      <c r="M102" s="113"/>
      <c r="N102" s="113"/>
      <c r="T102" s="52" t="str">
        <f t="shared" si="5"/>
        <v/>
      </c>
      <c r="U102" s="52"/>
      <c r="V102" s="52"/>
      <c r="W102" s="52"/>
      <c r="X102" s="52"/>
      <c r="Y102" s="52"/>
      <c r="Z102" s="114"/>
      <c r="AA102" s="56"/>
      <c r="AB102" s="115"/>
      <c r="AC102" s="116"/>
    </row>
    <row r="103" ht="15.75" customHeight="1">
      <c r="E103" s="112"/>
      <c r="F103" s="52" t="str">
        <f t="shared" si="6"/>
        <v/>
      </c>
      <c r="G103" s="52"/>
      <c r="H103" s="52"/>
      <c r="I103" s="52"/>
      <c r="J103" s="52"/>
      <c r="K103" s="52"/>
      <c r="L103" s="52"/>
      <c r="M103" s="113"/>
      <c r="N103" s="113"/>
      <c r="T103" s="52" t="str">
        <f t="shared" si="5"/>
        <v/>
      </c>
      <c r="U103" s="52"/>
      <c r="V103" s="52"/>
      <c r="W103" s="52"/>
      <c r="X103" s="52"/>
      <c r="Y103" s="52"/>
      <c r="Z103" s="114"/>
      <c r="AA103" s="56"/>
      <c r="AB103" s="115"/>
      <c r="AC103" s="116"/>
    </row>
    <row r="104" ht="15.75" customHeight="1">
      <c r="E104" s="112"/>
      <c r="F104" s="52" t="str">
        <f t="shared" si="6"/>
        <v/>
      </c>
      <c r="G104" s="52"/>
      <c r="H104" s="52"/>
      <c r="I104" s="52"/>
      <c r="J104" s="52"/>
      <c r="K104" s="52"/>
      <c r="L104" s="52"/>
      <c r="M104" s="113"/>
      <c r="N104" s="113"/>
      <c r="T104" s="52" t="str">
        <f t="shared" si="5"/>
        <v/>
      </c>
      <c r="U104" s="52"/>
      <c r="V104" s="52"/>
      <c r="W104" s="52"/>
      <c r="X104" s="52"/>
      <c r="Y104" s="52"/>
      <c r="Z104" s="114"/>
      <c r="AA104" s="56"/>
      <c r="AB104" s="115"/>
      <c r="AC104" s="116"/>
    </row>
    <row r="105" ht="15.75" customHeight="1">
      <c r="E105" s="112"/>
      <c r="F105" s="52" t="str">
        <f t="shared" si="6"/>
        <v/>
      </c>
      <c r="G105" s="52"/>
      <c r="H105" s="52"/>
      <c r="I105" s="52"/>
      <c r="J105" s="52"/>
      <c r="K105" s="52"/>
      <c r="L105" s="52"/>
      <c r="M105" s="113"/>
      <c r="N105" s="113"/>
      <c r="T105" s="52" t="str">
        <f t="shared" si="5"/>
        <v/>
      </c>
      <c r="U105" s="52"/>
      <c r="V105" s="52"/>
      <c r="W105" s="52"/>
      <c r="X105" s="52"/>
      <c r="Y105" s="52"/>
      <c r="Z105" s="114"/>
      <c r="AA105" s="56"/>
      <c r="AB105" s="115"/>
      <c r="AC105" s="116"/>
    </row>
    <row r="106" ht="15.75" customHeight="1">
      <c r="E106" s="112"/>
      <c r="F106" s="52" t="str">
        <f t="shared" si="6"/>
        <v/>
      </c>
      <c r="G106" s="52"/>
      <c r="H106" s="52"/>
      <c r="I106" s="52"/>
      <c r="J106" s="52"/>
      <c r="K106" s="52"/>
      <c r="L106" s="52"/>
      <c r="M106" s="113"/>
      <c r="N106" s="113"/>
      <c r="T106" s="52" t="str">
        <f t="shared" si="5"/>
        <v/>
      </c>
      <c r="U106" s="52"/>
      <c r="V106" s="52"/>
      <c r="W106" s="52"/>
      <c r="X106" s="52"/>
      <c r="Y106" s="52"/>
      <c r="Z106" s="114"/>
      <c r="AA106" s="56"/>
      <c r="AB106" s="115"/>
      <c r="AC106" s="116"/>
    </row>
    <row r="107" ht="15.75" customHeight="1">
      <c r="E107" s="112"/>
      <c r="F107" s="52" t="str">
        <f t="shared" si="6"/>
        <v/>
      </c>
      <c r="G107" s="52"/>
      <c r="H107" s="52"/>
      <c r="I107" s="52"/>
      <c r="J107" s="52"/>
      <c r="K107" s="52"/>
      <c r="L107" s="52"/>
      <c r="M107" s="113"/>
      <c r="N107" s="113"/>
      <c r="T107" s="52" t="str">
        <f t="shared" si="5"/>
        <v/>
      </c>
      <c r="U107" s="52"/>
      <c r="V107" s="52"/>
      <c r="W107" s="52"/>
      <c r="X107" s="52"/>
      <c r="Y107" s="52"/>
      <c r="Z107" s="114"/>
      <c r="AA107" s="56"/>
      <c r="AB107" s="115"/>
      <c r="AC107" s="116"/>
    </row>
    <row r="108" ht="15.75" customHeight="1">
      <c r="E108" s="112"/>
      <c r="F108" s="52" t="str">
        <f t="shared" si="6"/>
        <v/>
      </c>
      <c r="G108" s="52"/>
      <c r="H108" s="52"/>
      <c r="I108" s="52"/>
      <c r="J108" s="52"/>
      <c r="K108" s="52"/>
      <c r="L108" s="52"/>
      <c r="M108" s="113"/>
      <c r="N108" s="113"/>
      <c r="T108" s="52" t="str">
        <f t="shared" si="5"/>
        <v/>
      </c>
      <c r="U108" s="52"/>
      <c r="V108" s="52"/>
      <c r="W108" s="52"/>
      <c r="X108" s="52"/>
      <c r="Y108" s="52"/>
      <c r="Z108" s="114"/>
      <c r="AA108" s="56"/>
      <c r="AB108" s="115"/>
      <c r="AC108" s="116"/>
    </row>
    <row r="109" ht="15.75" customHeight="1">
      <c r="E109" s="112"/>
      <c r="F109" s="52" t="str">
        <f t="shared" si="6"/>
        <v/>
      </c>
      <c r="G109" s="52"/>
      <c r="H109" s="52"/>
      <c r="I109" s="52"/>
      <c r="J109" s="52"/>
      <c r="K109" s="52"/>
      <c r="L109" s="52"/>
      <c r="M109" s="113"/>
      <c r="N109" s="113"/>
      <c r="T109" s="52" t="str">
        <f t="shared" si="5"/>
        <v/>
      </c>
      <c r="U109" s="52"/>
      <c r="V109" s="52"/>
      <c r="W109" s="52"/>
      <c r="X109" s="52"/>
      <c r="Y109" s="52"/>
      <c r="Z109" s="114"/>
      <c r="AA109" s="56"/>
      <c r="AB109" s="115"/>
      <c r="AC109" s="116"/>
    </row>
    <row r="110" ht="15.75" customHeight="1">
      <c r="E110" s="112"/>
      <c r="F110" s="52" t="str">
        <f t="shared" si="6"/>
        <v/>
      </c>
      <c r="G110" s="52"/>
      <c r="H110" s="52"/>
      <c r="I110" s="52"/>
      <c r="J110" s="52"/>
      <c r="K110" s="52"/>
      <c r="L110" s="52"/>
      <c r="M110" s="113"/>
      <c r="N110" s="113"/>
      <c r="T110" s="52" t="str">
        <f t="shared" si="5"/>
        <v/>
      </c>
      <c r="U110" s="52"/>
      <c r="V110" s="52"/>
      <c r="W110" s="52"/>
      <c r="X110" s="52"/>
      <c r="Y110" s="52"/>
      <c r="Z110" s="114"/>
      <c r="AA110" s="56"/>
      <c r="AB110" s="115"/>
      <c r="AC110" s="116"/>
    </row>
    <row r="111" ht="15.75" customHeight="1">
      <c r="E111" s="112"/>
      <c r="F111" s="52" t="str">
        <f t="shared" si="6"/>
        <v/>
      </c>
      <c r="G111" s="52"/>
      <c r="H111" s="52"/>
      <c r="I111" s="52"/>
      <c r="J111" s="52"/>
      <c r="K111" s="52"/>
      <c r="L111" s="52"/>
      <c r="M111" s="113"/>
      <c r="N111" s="113"/>
      <c r="T111" s="52" t="str">
        <f t="shared" si="5"/>
        <v/>
      </c>
      <c r="U111" s="52"/>
      <c r="V111" s="52"/>
      <c r="W111" s="52"/>
      <c r="X111" s="52"/>
      <c r="Y111" s="52"/>
      <c r="Z111" s="114"/>
      <c r="AA111" s="56"/>
      <c r="AB111" s="115"/>
      <c r="AC111" s="116"/>
    </row>
    <row r="112" ht="15.75" customHeight="1">
      <c r="E112" s="112"/>
      <c r="F112" s="52" t="str">
        <f t="shared" si="6"/>
        <v/>
      </c>
      <c r="G112" s="52"/>
      <c r="H112" s="52"/>
      <c r="I112" s="52"/>
      <c r="J112" s="52"/>
      <c r="K112" s="52"/>
      <c r="L112" s="52"/>
      <c r="M112" s="113"/>
      <c r="N112" s="113"/>
      <c r="T112" s="52" t="str">
        <f t="shared" si="5"/>
        <v/>
      </c>
      <c r="U112" s="52"/>
      <c r="V112" s="52"/>
      <c r="W112" s="52"/>
      <c r="X112" s="52"/>
      <c r="Y112" s="52"/>
      <c r="Z112" s="114"/>
      <c r="AA112" s="56"/>
      <c r="AB112" s="115"/>
      <c r="AC112" s="116"/>
    </row>
    <row r="113" ht="15.75" customHeight="1">
      <c r="E113" s="112"/>
      <c r="F113" s="52" t="str">
        <f t="shared" si="6"/>
        <v/>
      </c>
      <c r="G113" s="52"/>
      <c r="H113" s="52"/>
      <c r="I113" s="52"/>
      <c r="J113" s="52"/>
      <c r="K113" s="52"/>
      <c r="L113" s="52"/>
      <c r="M113" s="113"/>
      <c r="N113" s="113"/>
      <c r="T113" s="52" t="str">
        <f t="shared" si="5"/>
        <v/>
      </c>
      <c r="U113" s="52"/>
      <c r="V113" s="52"/>
      <c r="W113" s="52"/>
      <c r="X113" s="52"/>
      <c r="Y113" s="52"/>
      <c r="Z113" s="114"/>
      <c r="AA113" s="56"/>
      <c r="AB113" s="115"/>
      <c r="AC113" s="116"/>
    </row>
    <row r="114" ht="15.75" customHeight="1">
      <c r="E114" s="112"/>
      <c r="F114" s="52" t="str">
        <f t="shared" si="6"/>
        <v/>
      </c>
      <c r="G114" s="52"/>
      <c r="H114" s="52"/>
      <c r="I114" s="52"/>
      <c r="J114" s="52"/>
      <c r="K114" s="52"/>
      <c r="L114" s="52"/>
      <c r="M114" s="113"/>
      <c r="N114" s="113"/>
      <c r="T114" s="52" t="str">
        <f t="shared" si="5"/>
        <v/>
      </c>
      <c r="U114" s="52"/>
      <c r="V114" s="52"/>
      <c r="W114" s="52"/>
      <c r="X114" s="52"/>
      <c r="Y114" s="52"/>
      <c r="Z114" s="114"/>
      <c r="AA114" s="56"/>
      <c r="AB114" s="115"/>
      <c r="AC114" s="116"/>
    </row>
    <row r="115" ht="15.75" customHeight="1">
      <c r="E115" s="112"/>
      <c r="F115" s="52" t="str">
        <f t="shared" si="6"/>
        <v/>
      </c>
      <c r="G115" s="52"/>
      <c r="H115" s="52"/>
      <c r="I115" s="52"/>
      <c r="J115" s="52"/>
      <c r="K115" s="52"/>
      <c r="L115" s="52"/>
      <c r="M115" s="113"/>
      <c r="N115" s="113"/>
      <c r="T115" s="52" t="str">
        <f t="shared" si="5"/>
        <v/>
      </c>
      <c r="U115" s="52"/>
      <c r="V115" s="52"/>
      <c r="W115" s="52"/>
      <c r="X115" s="52"/>
      <c r="Y115" s="52"/>
      <c r="Z115" s="114"/>
      <c r="AA115" s="56"/>
      <c r="AB115" s="115"/>
      <c r="AC115" s="116"/>
    </row>
    <row r="116" ht="15.75" customHeight="1">
      <c r="E116" s="112"/>
      <c r="F116" s="52" t="str">
        <f t="shared" si="6"/>
        <v/>
      </c>
      <c r="G116" s="52"/>
      <c r="H116" s="52"/>
      <c r="I116" s="52"/>
      <c r="J116" s="52"/>
      <c r="K116" s="52"/>
      <c r="L116" s="52"/>
      <c r="M116" s="113"/>
      <c r="N116" s="113"/>
      <c r="T116" s="52" t="str">
        <f t="shared" si="5"/>
        <v/>
      </c>
      <c r="U116" s="52"/>
      <c r="V116" s="52"/>
      <c r="W116" s="52"/>
      <c r="X116" s="52"/>
      <c r="Y116" s="52"/>
      <c r="Z116" s="114"/>
      <c r="AA116" s="56"/>
      <c r="AB116" s="115"/>
      <c r="AC116" s="116"/>
    </row>
    <row r="117" ht="15.75" customHeight="1">
      <c r="E117" s="112"/>
      <c r="F117" s="52" t="str">
        <f t="shared" si="6"/>
        <v/>
      </c>
      <c r="G117" s="52"/>
      <c r="H117" s="52"/>
      <c r="I117" s="52"/>
      <c r="J117" s="52"/>
      <c r="K117" s="52"/>
      <c r="L117" s="52"/>
      <c r="M117" s="113"/>
      <c r="N117" s="113"/>
      <c r="T117" s="52" t="str">
        <f t="shared" si="5"/>
        <v/>
      </c>
      <c r="U117" s="52"/>
      <c r="V117" s="52"/>
      <c r="W117" s="52"/>
      <c r="X117" s="52"/>
      <c r="Y117" s="52"/>
      <c r="Z117" s="114"/>
      <c r="AA117" s="56"/>
      <c r="AB117" s="115"/>
      <c r="AC117" s="116"/>
    </row>
    <row r="118" ht="15.75" customHeight="1">
      <c r="E118" s="112"/>
      <c r="F118" s="52" t="str">
        <f t="shared" si="6"/>
        <v/>
      </c>
      <c r="G118" s="52"/>
      <c r="H118" s="52"/>
      <c r="I118" s="52"/>
      <c r="J118" s="52"/>
      <c r="K118" s="52"/>
      <c r="L118" s="52"/>
      <c r="M118" s="113"/>
      <c r="N118" s="113"/>
      <c r="T118" s="52" t="str">
        <f t="shared" si="5"/>
        <v/>
      </c>
      <c r="U118" s="52"/>
      <c r="V118" s="52"/>
      <c r="W118" s="52"/>
      <c r="X118" s="52"/>
      <c r="Y118" s="52"/>
      <c r="Z118" s="114"/>
      <c r="AA118" s="56"/>
      <c r="AB118" s="115"/>
      <c r="AC118" s="116"/>
    </row>
    <row r="119" ht="15.75" customHeight="1">
      <c r="E119" s="112"/>
      <c r="F119" s="52" t="str">
        <f t="shared" si="6"/>
        <v/>
      </c>
      <c r="G119" s="52"/>
      <c r="H119" s="52"/>
      <c r="I119" s="52"/>
      <c r="J119" s="52"/>
      <c r="K119" s="52"/>
      <c r="L119" s="52"/>
      <c r="M119" s="113"/>
      <c r="N119" s="113"/>
      <c r="T119" s="52" t="str">
        <f t="shared" si="5"/>
        <v/>
      </c>
      <c r="U119" s="52"/>
      <c r="V119" s="52"/>
      <c r="W119" s="52"/>
      <c r="X119" s="52"/>
      <c r="Y119" s="52"/>
      <c r="Z119" s="114"/>
      <c r="AA119" s="56"/>
      <c r="AB119" s="115"/>
      <c r="AC119" s="116"/>
    </row>
    <row r="120" ht="15.75" customHeight="1">
      <c r="E120" s="112"/>
      <c r="F120" s="52" t="str">
        <f t="shared" si="6"/>
        <v/>
      </c>
      <c r="G120" s="52"/>
      <c r="H120" s="52"/>
      <c r="I120" s="52"/>
      <c r="J120" s="52"/>
      <c r="K120" s="52"/>
      <c r="L120" s="52"/>
      <c r="M120" s="113"/>
      <c r="N120" s="113"/>
      <c r="T120" s="52" t="str">
        <f t="shared" si="5"/>
        <v/>
      </c>
      <c r="U120" s="52"/>
      <c r="V120" s="52"/>
      <c r="W120" s="52"/>
      <c r="X120" s="52"/>
      <c r="Y120" s="52"/>
      <c r="Z120" s="114"/>
      <c r="AA120" s="56"/>
      <c r="AB120" s="115"/>
      <c r="AC120" s="116"/>
    </row>
    <row r="121" ht="15.75" customHeight="1">
      <c r="E121" s="112"/>
      <c r="F121" s="52" t="str">
        <f t="shared" si="6"/>
        <v/>
      </c>
      <c r="G121" s="52"/>
      <c r="H121" s="52"/>
      <c r="I121" s="52"/>
      <c r="J121" s="52"/>
      <c r="K121" s="52"/>
      <c r="L121" s="52"/>
      <c r="M121" s="113"/>
      <c r="N121" s="113"/>
      <c r="T121" s="52" t="str">
        <f t="shared" si="5"/>
        <v/>
      </c>
      <c r="U121" s="52"/>
      <c r="V121" s="52"/>
      <c r="W121" s="52"/>
      <c r="X121" s="52"/>
      <c r="Y121" s="52"/>
      <c r="Z121" s="114"/>
      <c r="AA121" s="56"/>
      <c r="AB121" s="115"/>
      <c r="AC121" s="116"/>
    </row>
    <row r="122" ht="15.75" customHeight="1">
      <c r="E122" s="112"/>
      <c r="F122" s="52" t="str">
        <f t="shared" si="6"/>
        <v/>
      </c>
      <c r="G122" s="52"/>
      <c r="H122" s="52"/>
      <c r="I122" s="52"/>
      <c r="J122" s="52"/>
      <c r="K122" s="52"/>
      <c r="L122" s="52"/>
      <c r="M122" s="113"/>
      <c r="N122" s="113"/>
      <c r="T122" s="52" t="str">
        <f t="shared" si="5"/>
        <v/>
      </c>
      <c r="U122" s="52"/>
      <c r="V122" s="52"/>
      <c r="W122" s="52"/>
      <c r="X122" s="52"/>
      <c r="Y122" s="52"/>
      <c r="Z122" s="114"/>
      <c r="AA122" s="56"/>
      <c r="AB122" s="115"/>
      <c r="AC122" s="116"/>
    </row>
    <row r="123" ht="15.75" customHeight="1">
      <c r="E123" s="112"/>
      <c r="F123" s="52" t="str">
        <f t="shared" si="6"/>
        <v/>
      </c>
      <c r="G123" s="52"/>
      <c r="H123" s="52"/>
      <c r="I123" s="52"/>
      <c r="J123" s="52"/>
      <c r="K123" s="52"/>
      <c r="L123" s="52"/>
      <c r="M123" s="113"/>
      <c r="N123" s="113"/>
      <c r="T123" s="52" t="str">
        <f t="shared" si="5"/>
        <v/>
      </c>
      <c r="U123" s="52"/>
      <c r="V123" s="52"/>
      <c r="W123" s="52"/>
      <c r="X123" s="52"/>
      <c r="Y123" s="52"/>
      <c r="Z123" s="114"/>
      <c r="AA123" s="56"/>
      <c r="AB123" s="115"/>
      <c r="AC123" s="116"/>
    </row>
    <row r="124" ht="15.75" customHeight="1">
      <c r="E124" s="112"/>
      <c r="F124" s="52" t="str">
        <f t="shared" si="6"/>
        <v/>
      </c>
      <c r="G124" s="52"/>
      <c r="H124" s="52"/>
      <c r="I124" s="52"/>
      <c r="J124" s="52"/>
      <c r="K124" s="52"/>
      <c r="L124" s="52"/>
      <c r="M124" s="113"/>
      <c r="N124" s="113"/>
      <c r="T124" s="52" t="str">
        <f t="shared" si="5"/>
        <v/>
      </c>
      <c r="U124" s="52"/>
      <c r="V124" s="52"/>
      <c r="W124" s="52"/>
      <c r="X124" s="52"/>
      <c r="Y124" s="52"/>
      <c r="Z124" s="114"/>
      <c r="AA124" s="56"/>
      <c r="AB124" s="115"/>
      <c r="AC124" s="116"/>
    </row>
    <row r="125" ht="15.75" customHeight="1">
      <c r="E125" s="112"/>
      <c r="F125" s="52" t="str">
        <f t="shared" si="6"/>
        <v/>
      </c>
      <c r="G125" s="52"/>
      <c r="H125" s="52"/>
      <c r="I125" s="52"/>
      <c r="J125" s="52"/>
      <c r="K125" s="52"/>
      <c r="L125" s="52"/>
      <c r="M125" s="113"/>
      <c r="N125" s="113"/>
      <c r="T125" s="52" t="str">
        <f t="shared" si="5"/>
        <v/>
      </c>
      <c r="U125" s="52"/>
      <c r="V125" s="52"/>
      <c r="W125" s="52"/>
      <c r="X125" s="52"/>
      <c r="Y125" s="52"/>
      <c r="Z125" s="114"/>
      <c r="AA125" s="56"/>
      <c r="AB125" s="115"/>
      <c r="AC125" s="116"/>
    </row>
    <row r="126" ht="15.75" customHeight="1">
      <c r="E126" s="112"/>
      <c r="F126" s="52" t="str">
        <f t="shared" si="6"/>
        <v/>
      </c>
      <c r="G126" s="52"/>
      <c r="H126" s="52"/>
      <c r="I126" s="52"/>
      <c r="J126" s="52"/>
      <c r="K126" s="52"/>
      <c r="L126" s="52"/>
      <c r="M126" s="113"/>
      <c r="N126" s="113"/>
      <c r="T126" s="52" t="str">
        <f t="shared" si="5"/>
        <v/>
      </c>
      <c r="U126" s="52"/>
      <c r="V126" s="52"/>
      <c r="W126" s="52"/>
      <c r="X126" s="52"/>
      <c r="Y126" s="52"/>
      <c r="Z126" s="114"/>
      <c r="AA126" s="56"/>
      <c r="AB126" s="115"/>
      <c r="AC126" s="116"/>
    </row>
    <row r="127" ht="15.75" customHeight="1">
      <c r="E127" s="112"/>
      <c r="F127" s="52" t="str">
        <f t="shared" si="6"/>
        <v/>
      </c>
      <c r="G127" s="52"/>
      <c r="H127" s="52"/>
      <c r="I127" s="52"/>
      <c r="J127" s="52"/>
      <c r="K127" s="52"/>
      <c r="L127" s="52"/>
      <c r="M127" s="113"/>
      <c r="N127" s="113"/>
      <c r="T127" s="52" t="str">
        <f t="shared" si="5"/>
        <v/>
      </c>
      <c r="U127" s="52"/>
      <c r="V127" s="52"/>
      <c r="W127" s="52"/>
      <c r="X127" s="52"/>
      <c r="Y127" s="52"/>
      <c r="Z127" s="114"/>
      <c r="AA127" s="56"/>
      <c r="AB127" s="115"/>
      <c r="AC127" s="116"/>
    </row>
    <row r="128" ht="15.75" customHeight="1">
      <c r="E128" s="112"/>
      <c r="F128" s="52" t="str">
        <f t="shared" si="6"/>
        <v/>
      </c>
      <c r="G128" s="52"/>
      <c r="H128" s="52"/>
      <c r="I128" s="52"/>
      <c r="J128" s="52"/>
      <c r="K128" s="52"/>
      <c r="L128" s="52"/>
      <c r="M128" s="113"/>
      <c r="N128" s="113"/>
      <c r="T128" s="52" t="str">
        <f t="shared" si="5"/>
        <v/>
      </c>
      <c r="U128" s="52"/>
      <c r="V128" s="52"/>
      <c r="W128" s="52"/>
      <c r="X128" s="52"/>
      <c r="Y128" s="52"/>
      <c r="Z128" s="114"/>
      <c r="AA128" s="56"/>
      <c r="AB128" s="115"/>
      <c r="AC128" s="116"/>
    </row>
    <row r="129" ht="15.75" customHeight="1">
      <c r="E129" s="112"/>
      <c r="F129" s="52" t="str">
        <f t="shared" si="6"/>
        <v/>
      </c>
      <c r="G129" s="52"/>
      <c r="H129" s="52"/>
      <c r="I129" s="52"/>
      <c r="J129" s="52"/>
      <c r="K129" s="52"/>
      <c r="L129" s="52"/>
      <c r="M129" s="113"/>
      <c r="N129" s="113"/>
      <c r="T129" s="52" t="str">
        <f t="shared" si="5"/>
        <v/>
      </c>
      <c r="U129" s="52"/>
      <c r="V129" s="52"/>
      <c r="W129" s="52"/>
      <c r="X129" s="52"/>
      <c r="Y129" s="52"/>
      <c r="Z129" s="114"/>
      <c r="AA129" s="56"/>
      <c r="AB129" s="115"/>
      <c r="AC129" s="116"/>
    </row>
    <row r="130" ht="15.75" customHeight="1">
      <c r="E130" s="112"/>
      <c r="F130" s="52" t="str">
        <f t="shared" si="6"/>
        <v/>
      </c>
      <c r="G130" s="52"/>
      <c r="H130" s="52"/>
      <c r="I130" s="52"/>
      <c r="J130" s="52"/>
      <c r="K130" s="52"/>
      <c r="L130" s="52"/>
      <c r="M130" s="113"/>
      <c r="N130" s="113"/>
      <c r="T130" s="52" t="str">
        <f t="shared" si="5"/>
        <v/>
      </c>
      <c r="U130" s="52"/>
      <c r="V130" s="52"/>
      <c r="W130" s="52"/>
      <c r="X130" s="52"/>
      <c r="Y130" s="52"/>
      <c r="Z130" s="114"/>
      <c r="AA130" s="56"/>
      <c r="AB130" s="115"/>
      <c r="AC130" s="116"/>
    </row>
    <row r="131" ht="15.75" customHeight="1">
      <c r="E131" s="112"/>
      <c r="F131" s="52" t="str">
        <f t="shared" si="6"/>
        <v/>
      </c>
      <c r="G131" s="52"/>
      <c r="H131" s="52"/>
      <c r="I131" s="52"/>
      <c r="J131" s="52"/>
      <c r="K131" s="52"/>
      <c r="L131" s="52"/>
      <c r="M131" s="113"/>
      <c r="N131" s="113"/>
      <c r="T131" s="52" t="str">
        <f t="shared" si="5"/>
        <v/>
      </c>
      <c r="U131" s="52"/>
      <c r="V131" s="52"/>
      <c r="W131" s="52"/>
      <c r="X131" s="52"/>
      <c r="Y131" s="52"/>
      <c r="Z131" s="114"/>
      <c r="AA131" s="56"/>
      <c r="AB131" s="115"/>
      <c r="AC131" s="116"/>
    </row>
    <row r="132" ht="15.75" customHeight="1">
      <c r="E132" s="112"/>
      <c r="F132" s="52" t="str">
        <f t="shared" si="6"/>
        <v/>
      </c>
      <c r="G132" s="52"/>
      <c r="H132" s="52"/>
      <c r="I132" s="52"/>
      <c r="J132" s="52"/>
      <c r="K132" s="52"/>
      <c r="L132" s="52"/>
      <c r="M132" s="113"/>
      <c r="N132" s="113"/>
      <c r="T132" s="52" t="str">
        <f t="shared" si="5"/>
        <v/>
      </c>
      <c r="U132" s="52"/>
      <c r="V132" s="52"/>
      <c r="W132" s="52"/>
      <c r="X132" s="52"/>
      <c r="Y132" s="52"/>
      <c r="Z132" s="114"/>
      <c r="AA132" s="56"/>
      <c r="AB132" s="115"/>
      <c r="AC132" s="116"/>
    </row>
    <row r="133" ht="15.75" customHeight="1">
      <c r="E133" s="112"/>
      <c r="F133" s="52" t="str">
        <f t="shared" si="6"/>
        <v/>
      </c>
      <c r="G133" s="52"/>
      <c r="H133" s="52"/>
      <c r="I133" s="52"/>
      <c r="J133" s="52"/>
      <c r="K133" s="52"/>
      <c r="L133" s="52"/>
      <c r="M133" s="113"/>
      <c r="N133" s="113"/>
      <c r="T133" s="52" t="str">
        <f t="shared" si="5"/>
        <v/>
      </c>
      <c r="U133" s="52"/>
      <c r="V133" s="52"/>
      <c r="W133" s="52"/>
      <c r="X133" s="52"/>
      <c r="Y133" s="52"/>
      <c r="Z133" s="114"/>
      <c r="AA133" s="56"/>
      <c r="AB133" s="115"/>
      <c r="AC133" s="116"/>
    </row>
    <row r="134" ht="15.75" customHeight="1">
      <c r="E134" s="112"/>
      <c r="F134" s="52" t="str">
        <f t="shared" si="6"/>
        <v/>
      </c>
      <c r="G134" s="52"/>
      <c r="H134" s="52"/>
      <c r="I134" s="52"/>
      <c r="J134" s="52"/>
      <c r="K134" s="52"/>
      <c r="L134" s="52"/>
      <c r="M134" s="113"/>
      <c r="N134" s="113"/>
      <c r="T134" s="52" t="str">
        <f t="shared" si="5"/>
        <v/>
      </c>
      <c r="U134" s="52"/>
      <c r="V134" s="52"/>
      <c r="W134" s="52"/>
      <c r="X134" s="52"/>
      <c r="Y134" s="52"/>
      <c r="Z134" s="114"/>
      <c r="AA134" s="56"/>
      <c r="AB134" s="115"/>
      <c r="AC134" s="116"/>
    </row>
    <row r="135" ht="15.75" customHeight="1">
      <c r="E135" s="112"/>
      <c r="F135" s="52" t="str">
        <f t="shared" si="6"/>
        <v/>
      </c>
      <c r="G135" s="52"/>
      <c r="H135" s="52"/>
      <c r="I135" s="52"/>
      <c r="J135" s="52"/>
      <c r="K135" s="52"/>
      <c r="L135" s="52"/>
      <c r="M135" s="113"/>
      <c r="N135" s="113"/>
      <c r="T135" s="52" t="str">
        <f t="shared" si="5"/>
        <v/>
      </c>
      <c r="U135" s="52"/>
      <c r="V135" s="52"/>
      <c r="W135" s="52"/>
      <c r="X135" s="52"/>
      <c r="Y135" s="52"/>
      <c r="Z135" s="114"/>
      <c r="AA135" s="56"/>
      <c r="AB135" s="115"/>
      <c r="AC135" s="116"/>
    </row>
    <row r="136" ht="15.75" customHeight="1">
      <c r="E136" s="112"/>
      <c r="F136" s="52" t="str">
        <f t="shared" si="6"/>
        <v/>
      </c>
      <c r="G136" s="52"/>
      <c r="H136" s="52"/>
      <c r="I136" s="52"/>
      <c r="J136" s="52"/>
      <c r="K136" s="52"/>
      <c r="L136" s="52"/>
      <c r="M136" s="113"/>
      <c r="N136" s="113"/>
      <c r="T136" s="52" t="str">
        <f t="shared" si="5"/>
        <v/>
      </c>
      <c r="U136" s="52"/>
      <c r="V136" s="52"/>
      <c r="W136" s="52"/>
      <c r="X136" s="52"/>
      <c r="Y136" s="52"/>
      <c r="Z136" s="114"/>
      <c r="AA136" s="56"/>
      <c r="AB136" s="115"/>
      <c r="AC136" s="116"/>
    </row>
    <row r="137" ht="15.75" customHeight="1">
      <c r="E137" s="112"/>
      <c r="F137" s="52" t="str">
        <f t="shared" si="6"/>
        <v/>
      </c>
      <c r="G137" s="52"/>
      <c r="H137" s="52"/>
      <c r="I137" s="52"/>
      <c r="J137" s="52"/>
      <c r="K137" s="52"/>
      <c r="L137" s="52"/>
      <c r="M137" s="113"/>
      <c r="N137" s="113"/>
      <c r="T137" s="52" t="str">
        <f t="shared" si="5"/>
        <v/>
      </c>
      <c r="U137" s="52"/>
      <c r="V137" s="52"/>
      <c r="W137" s="52"/>
      <c r="X137" s="52"/>
      <c r="Y137" s="52"/>
      <c r="Z137" s="114"/>
      <c r="AA137" s="56"/>
      <c r="AB137" s="115"/>
      <c r="AC137" s="116"/>
    </row>
    <row r="138" ht="15.75" customHeight="1">
      <c r="E138" s="112"/>
      <c r="F138" s="52" t="str">
        <f t="shared" si="6"/>
        <v/>
      </c>
      <c r="G138" s="52"/>
      <c r="H138" s="52"/>
      <c r="I138" s="52"/>
      <c r="J138" s="52"/>
      <c r="K138" s="52"/>
      <c r="L138" s="52"/>
      <c r="M138" s="113"/>
      <c r="N138" s="113"/>
      <c r="T138" s="52" t="str">
        <f t="shared" si="5"/>
        <v/>
      </c>
      <c r="U138" s="52"/>
      <c r="V138" s="52"/>
      <c r="W138" s="52"/>
      <c r="X138" s="52"/>
      <c r="Y138" s="52"/>
      <c r="Z138" s="114"/>
      <c r="AA138" s="56"/>
      <c r="AB138" s="115"/>
      <c r="AC138" s="116"/>
    </row>
    <row r="139" ht="15.75" customHeight="1">
      <c r="E139" s="112"/>
      <c r="F139" s="52" t="str">
        <f t="shared" si="6"/>
        <v/>
      </c>
      <c r="G139" s="52"/>
      <c r="H139" s="52"/>
      <c r="I139" s="52"/>
      <c r="J139" s="52"/>
      <c r="K139" s="52"/>
      <c r="L139" s="52"/>
      <c r="M139" s="113"/>
      <c r="N139" s="113"/>
      <c r="T139" s="52" t="str">
        <f t="shared" si="5"/>
        <v/>
      </c>
      <c r="U139" s="52"/>
      <c r="V139" s="52"/>
      <c r="W139" s="52"/>
      <c r="X139" s="52"/>
      <c r="Y139" s="52"/>
      <c r="Z139" s="114"/>
      <c r="AA139" s="56"/>
      <c r="AB139" s="115"/>
      <c r="AC139" s="116"/>
    </row>
    <row r="140" ht="15.75" customHeight="1">
      <c r="E140" s="112"/>
      <c r="F140" s="52" t="str">
        <f t="shared" si="6"/>
        <v/>
      </c>
      <c r="G140" s="52"/>
      <c r="H140" s="52"/>
      <c r="I140" s="52"/>
      <c r="J140" s="52"/>
      <c r="K140" s="52"/>
      <c r="L140" s="52"/>
      <c r="M140" s="113"/>
      <c r="N140" s="113"/>
      <c r="T140" s="52" t="str">
        <f t="shared" si="5"/>
        <v/>
      </c>
      <c r="U140" s="52"/>
      <c r="V140" s="52"/>
      <c r="W140" s="52"/>
      <c r="X140" s="52"/>
      <c r="Y140" s="52"/>
      <c r="Z140" s="114"/>
      <c r="AA140" s="56"/>
      <c r="AB140" s="115"/>
      <c r="AC140" s="116"/>
    </row>
    <row r="141" ht="15.75" customHeight="1">
      <c r="E141" s="112"/>
      <c r="F141" s="52" t="str">
        <f t="shared" si="6"/>
        <v/>
      </c>
      <c r="G141" s="52"/>
      <c r="H141" s="52"/>
      <c r="I141" s="52"/>
      <c r="J141" s="52"/>
      <c r="K141" s="52"/>
      <c r="L141" s="52"/>
      <c r="M141" s="113"/>
      <c r="N141" s="113"/>
      <c r="T141" s="52" t="str">
        <f t="shared" si="5"/>
        <v/>
      </c>
      <c r="U141" s="52"/>
      <c r="V141" s="52"/>
      <c r="W141" s="52"/>
      <c r="X141" s="52"/>
      <c r="Y141" s="52"/>
      <c r="Z141" s="114"/>
      <c r="AA141" s="56"/>
      <c r="AB141" s="115"/>
      <c r="AC141" s="116"/>
    </row>
    <row r="142" ht="15.75" customHeight="1">
      <c r="E142" s="112"/>
      <c r="F142" s="52" t="str">
        <f t="shared" si="6"/>
        <v/>
      </c>
      <c r="G142" s="52"/>
      <c r="H142" s="52"/>
      <c r="I142" s="52"/>
      <c r="J142" s="52"/>
      <c r="K142" s="52"/>
      <c r="L142" s="52"/>
      <c r="M142" s="113"/>
      <c r="N142" s="113"/>
      <c r="T142" s="52" t="str">
        <f t="shared" si="5"/>
        <v/>
      </c>
      <c r="U142" s="52"/>
      <c r="V142" s="52"/>
      <c r="W142" s="52"/>
      <c r="X142" s="52"/>
      <c r="Y142" s="52"/>
      <c r="Z142" s="114"/>
      <c r="AA142" s="56"/>
      <c r="AB142" s="115"/>
      <c r="AC142" s="116"/>
    </row>
    <row r="143" ht="15.75" customHeight="1">
      <c r="E143" s="112"/>
      <c r="F143" s="52" t="str">
        <f t="shared" si="6"/>
        <v/>
      </c>
      <c r="G143" s="52"/>
      <c r="H143" s="52"/>
      <c r="I143" s="52"/>
      <c r="J143" s="52"/>
      <c r="K143" s="52"/>
      <c r="L143" s="52"/>
      <c r="M143" s="113"/>
      <c r="N143" s="113"/>
      <c r="T143" s="52" t="str">
        <f t="shared" si="5"/>
        <v/>
      </c>
      <c r="U143" s="52"/>
      <c r="V143" s="52"/>
      <c r="W143" s="52"/>
      <c r="X143" s="52"/>
      <c r="Y143" s="52"/>
      <c r="Z143" s="114"/>
      <c r="AA143" s="56"/>
      <c r="AB143" s="115"/>
      <c r="AC143" s="116"/>
    </row>
    <row r="144" ht="15.75" customHeight="1">
      <c r="E144" s="112"/>
      <c r="F144" s="52" t="str">
        <f t="shared" si="6"/>
        <v/>
      </c>
      <c r="G144" s="52"/>
      <c r="H144" s="52"/>
      <c r="I144" s="52"/>
      <c r="J144" s="52"/>
      <c r="K144" s="52"/>
      <c r="L144" s="52"/>
      <c r="M144" s="113"/>
      <c r="N144" s="113"/>
      <c r="T144" s="52" t="str">
        <f t="shared" si="5"/>
        <v/>
      </c>
      <c r="U144" s="52"/>
      <c r="V144" s="52"/>
      <c r="W144" s="52"/>
      <c r="X144" s="52"/>
      <c r="Y144" s="52"/>
      <c r="Z144" s="114"/>
      <c r="AA144" s="56"/>
      <c r="AB144" s="115"/>
      <c r="AC144" s="116"/>
    </row>
    <row r="145" ht="15.75" customHeight="1">
      <c r="E145" s="112"/>
      <c r="F145" s="52" t="str">
        <f t="shared" si="6"/>
        <v/>
      </c>
      <c r="G145" s="52"/>
      <c r="H145" s="52"/>
      <c r="I145" s="52"/>
      <c r="J145" s="52"/>
      <c r="K145" s="52"/>
      <c r="L145" s="52"/>
      <c r="M145" s="113"/>
      <c r="N145" s="113"/>
      <c r="T145" s="52" t="str">
        <f t="shared" si="5"/>
        <v/>
      </c>
      <c r="U145" s="52"/>
      <c r="V145" s="52"/>
      <c r="W145" s="52"/>
      <c r="X145" s="52"/>
      <c r="Y145" s="52"/>
      <c r="Z145" s="114"/>
      <c r="AA145" s="56"/>
      <c r="AB145" s="115"/>
      <c r="AC145" s="116"/>
    </row>
    <row r="146" ht="15.75" customHeight="1">
      <c r="E146" s="112"/>
      <c r="F146" s="52" t="str">
        <f t="shared" si="6"/>
        <v/>
      </c>
      <c r="G146" s="52"/>
      <c r="H146" s="52"/>
      <c r="I146" s="52"/>
      <c r="J146" s="52"/>
      <c r="K146" s="52"/>
      <c r="L146" s="52"/>
      <c r="M146" s="113"/>
      <c r="N146" s="113"/>
      <c r="T146" s="52" t="str">
        <f t="shared" si="5"/>
        <v/>
      </c>
      <c r="U146" s="52"/>
      <c r="V146" s="52"/>
      <c r="W146" s="52"/>
      <c r="X146" s="52"/>
      <c r="Y146" s="52"/>
      <c r="Z146" s="114"/>
      <c r="AA146" s="56"/>
      <c r="AB146" s="115"/>
      <c r="AC146" s="116"/>
    </row>
    <row r="147" ht="15.75" customHeight="1">
      <c r="E147" s="112"/>
      <c r="F147" s="52" t="str">
        <f t="shared" si="6"/>
        <v/>
      </c>
      <c r="G147" s="52"/>
      <c r="H147" s="52"/>
      <c r="I147" s="52"/>
      <c r="J147" s="52"/>
      <c r="K147" s="52"/>
      <c r="L147" s="52"/>
      <c r="M147" s="113"/>
      <c r="N147" s="113"/>
      <c r="T147" s="52" t="str">
        <f t="shared" si="5"/>
        <v/>
      </c>
      <c r="U147" s="52"/>
      <c r="V147" s="52"/>
      <c r="W147" s="52"/>
      <c r="X147" s="52"/>
      <c r="Y147" s="52"/>
      <c r="Z147" s="114"/>
      <c r="AA147" s="56"/>
      <c r="AB147" s="115"/>
      <c r="AC147" s="116"/>
    </row>
    <row r="148" ht="15.75" customHeight="1">
      <c r="E148" s="112"/>
      <c r="F148" s="52" t="str">
        <f t="shared" si="6"/>
        <v/>
      </c>
      <c r="G148" s="52"/>
      <c r="H148" s="52"/>
      <c r="I148" s="52"/>
      <c r="J148" s="52"/>
      <c r="K148" s="52"/>
      <c r="L148" s="52"/>
      <c r="M148" s="113"/>
      <c r="N148" s="113"/>
      <c r="T148" s="52" t="str">
        <f t="shared" si="5"/>
        <v/>
      </c>
      <c r="U148" s="52"/>
      <c r="V148" s="52"/>
      <c r="W148" s="52"/>
      <c r="X148" s="52"/>
      <c r="Y148" s="52"/>
      <c r="Z148" s="114"/>
      <c r="AA148" s="56"/>
      <c r="AB148" s="115"/>
      <c r="AC148" s="116"/>
    </row>
    <row r="149" ht="15.75" customHeight="1">
      <c r="E149" s="112"/>
      <c r="F149" s="52" t="str">
        <f t="shared" si="6"/>
        <v/>
      </c>
      <c r="G149" s="52"/>
      <c r="H149" s="52"/>
      <c r="I149" s="52"/>
      <c r="J149" s="52"/>
      <c r="K149" s="52"/>
      <c r="L149" s="52"/>
      <c r="M149" s="113"/>
      <c r="N149" s="113"/>
      <c r="T149" s="52" t="str">
        <f t="shared" si="5"/>
        <v/>
      </c>
      <c r="U149" s="52"/>
      <c r="V149" s="52"/>
      <c r="W149" s="52"/>
      <c r="X149" s="52"/>
      <c r="Y149" s="52"/>
      <c r="Z149" s="114"/>
      <c r="AA149" s="56"/>
      <c r="AB149" s="115"/>
      <c r="AC149" s="116"/>
    </row>
    <row r="150" ht="15.75" customHeight="1">
      <c r="E150" s="112"/>
      <c r="F150" s="52" t="str">
        <f t="shared" si="6"/>
        <v/>
      </c>
      <c r="G150" s="52"/>
      <c r="H150" s="52"/>
      <c r="I150" s="52"/>
      <c r="J150" s="52"/>
      <c r="K150" s="52"/>
      <c r="L150" s="52"/>
      <c r="M150" s="113"/>
      <c r="N150" s="113"/>
      <c r="T150" s="52" t="str">
        <f t="shared" si="5"/>
        <v/>
      </c>
      <c r="U150" s="52"/>
      <c r="V150" s="52"/>
      <c r="W150" s="52"/>
      <c r="X150" s="52"/>
      <c r="Y150" s="52"/>
      <c r="Z150" s="114"/>
      <c r="AA150" s="56"/>
      <c r="AB150" s="115"/>
      <c r="AC150" s="116"/>
    </row>
    <row r="151" ht="15.75" customHeight="1">
      <c r="E151" s="112"/>
      <c r="F151" s="52" t="str">
        <f t="shared" si="6"/>
        <v/>
      </c>
      <c r="G151" s="52"/>
      <c r="H151" s="52"/>
      <c r="I151" s="52"/>
      <c r="J151" s="52"/>
      <c r="K151" s="52"/>
      <c r="L151" s="52"/>
      <c r="M151" s="113"/>
      <c r="N151" s="113"/>
      <c r="T151" s="52" t="str">
        <f t="shared" si="5"/>
        <v/>
      </c>
      <c r="U151" s="52"/>
      <c r="V151" s="52"/>
      <c r="W151" s="52"/>
      <c r="X151" s="52"/>
      <c r="Y151" s="52"/>
      <c r="Z151" s="114"/>
      <c r="AA151" s="56"/>
      <c r="AB151" s="115"/>
      <c r="AC151" s="116"/>
    </row>
    <row r="152" ht="15.75" customHeight="1">
      <c r="E152" s="112"/>
      <c r="F152" s="52" t="str">
        <f t="shared" si="6"/>
        <v/>
      </c>
      <c r="G152" s="52"/>
      <c r="H152" s="52"/>
      <c r="I152" s="52"/>
      <c r="J152" s="52"/>
      <c r="K152" s="52"/>
      <c r="L152" s="52"/>
      <c r="M152" s="113"/>
      <c r="N152" s="113"/>
      <c r="T152" s="52" t="str">
        <f t="shared" si="5"/>
        <v/>
      </c>
      <c r="U152" s="52"/>
      <c r="V152" s="52"/>
      <c r="W152" s="52"/>
      <c r="X152" s="52"/>
      <c r="Y152" s="52"/>
      <c r="Z152" s="114"/>
      <c r="AA152" s="56"/>
      <c r="AB152" s="115"/>
      <c r="AC152" s="116"/>
    </row>
    <row r="153" ht="15.75" customHeight="1">
      <c r="E153" s="112"/>
      <c r="F153" s="52" t="str">
        <f t="shared" si="6"/>
        <v/>
      </c>
      <c r="G153" s="52"/>
      <c r="H153" s="52"/>
      <c r="I153" s="52"/>
      <c r="J153" s="52"/>
      <c r="K153" s="52"/>
      <c r="L153" s="52"/>
      <c r="M153" s="113"/>
      <c r="N153" s="113"/>
      <c r="T153" s="52" t="str">
        <f t="shared" si="5"/>
        <v/>
      </c>
      <c r="U153" s="52"/>
      <c r="V153" s="52"/>
      <c r="W153" s="52"/>
      <c r="X153" s="52"/>
      <c r="Y153" s="52"/>
      <c r="Z153" s="114"/>
      <c r="AA153" s="56"/>
      <c r="AB153" s="115"/>
      <c r="AC153" s="116"/>
    </row>
    <row r="154" ht="15.75" customHeight="1">
      <c r="E154" s="112"/>
      <c r="F154" s="52" t="str">
        <f t="shared" si="6"/>
        <v/>
      </c>
      <c r="G154" s="52"/>
      <c r="H154" s="52"/>
      <c r="I154" s="52"/>
      <c r="J154" s="52"/>
      <c r="K154" s="52"/>
      <c r="L154" s="52"/>
      <c r="M154" s="113"/>
      <c r="N154" s="113"/>
      <c r="T154" s="52" t="str">
        <f t="shared" si="5"/>
        <v/>
      </c>
      <c r="U154" s="52"/>
      <c r="V154" s="52"/>
      <c r="W154" s="52"/>
      <c r="X154" s="52"/>
      <c r="Y154" s="52"/>
      <c r="Z154" s="114"/>
      <c r="AA154" s="56"/>
      <c r="AB154" s="115"/>
      <c r="AC154" s="116"/>
    </row>
    <row r="155" ht="15.75" customHeight="1">
      <c r="E155" s="112"/>
      <c r="F155" s="52" t="str">
        <f t="shared" si="6"/>
        <v/>
      </c>
      <c r="G155" s="52"/>
      <c r="H155" s="52"/>
      <c r="I155" s="52"/>
      <c r="J155" s="52"/>
      <c r="K155" s="52"/>
      <c r="L155" s="52"/>
      <c r="M155" s="113"/>
      <c r="N155" s="113"/>
      <c r="T155" s="52" t="str">
        <f t="shared" si="5"/>
        <v/>
      </c>
      <c r="U155" s="52"/>
      <c r="V155" s="52"/>
      <c r="W155" s="52"/>
      <c r="X155" s="52"/>
      <c r="Y155" s="52"/>
      <c r="Z155" s="114"/>
      <c r="AA155" s="56"/>
      <c r="AB155" s="115"/>
      <c r="AC155" s="116"/>
    </row>
    <row r="156" ht="15.75" customHeight="1">
      <c r="E156" s="112"/>
      <c r="F156" s="52" t="str">
        <f t="shared" si="6"/>
        <v/>
      </c>
      <c r="G156" s="52"/>
      <c r="H156" s="52"/>
      <c r="I156" s="52"/>
      <c r="J156" s="52"/>
      <c r="K156" s="52"/>
      <c r="L156" s="52"/>
      <c r="M156" s="113"/>
      <c r="N156" s="113"/>
      <c r="T156" s="52" t="str">
        <f t="shared" si="5"/>
        <v/>
      </c>
      <c r="U156" s="52"/>
      <c r="V156" s="52"/>
      <c r="W156" s="52"/>
      <c r="X156" s="52"/>
      <c r="Y156" s="52"/>
      <c r="Z156" s="114"/>
      <c r="AA156" s="56"/>
      <c r="AB156" s="115"/>
      <c r="AC156" s="116"/>
    </row>
    <row r="157" ht="15.75" customHeight="1">
      <c r="E157" s="112"/>
      <c r="F157" s="52" t="str">
        <f t="shared" si="6"/>
        <v/>
      </c>
      <c r="G157" s="52"/>
      <c r="H157" s="52"/>
      <c r="I157" s="52"/>
      <c r="J157" s="52"/>
      <c r="K157" s="52"/>
      <c r="L157" s="52"/>
      <c r="M157" s="113"/>
      <c r="N157" s="113"/>
      <c r="T157" s="52" t="str">
        <f t="shared" si="5"/>
        <v/>
      </c>
      <c r="U157" s="52"/>
      <c r="V157" s="52"/>
      <c r="W157" s="52"/>
      <c r="X157" s="52"/>
      <c r="Y157" s="52"/>
      <c r="Z157" s="114"/>
      <c r="AA157" s="56"/>
      <c r="AB157" s="115"/>
      <c r="AC157" s="116"/>
    </row>
    <row r="158" ht="15.75" customHeight="1">
      <c r="E158" s="112"/>
      <c r="F158" s="52" t="str">
        <f t="shared" si="6"/>
        <v/>
      </c>
      <c r="G158" s="52"/>
      <c r="H158" s="52"/>
      <c r="I158" s="52"/>
      <c r="J158" s="52"/>
      <c r="K158" s="52"/>
      <c r="L158" s="52"/>
      <c r="M158" s="113"/>
      <c r="N158" s="113"/>
      <c r="T158" s="52" t="str">
        <f t="shared" si="5"/>
        <v/>
      </c>
      <c r="U158" s="52"/>
      <c r="V158" s="52"/>
      <c r="W158" s="52"/>
      <c r="X158" s="52"/>
      <c r="Y158" s="52"/>
      <c r="Z158" s="114"/>
      <c r="AA158" s="56"/>
      <c r="AB158" s="115"/>
      <c r="AC158" s="116"/>
    </row>
    <row r="159" ht="15.75" customHeight="1">
      <c r="E159" s="112"/>
      <c r="F159" s="52" t="str">
        <f t="shared" si="6"/>
        <v/>
      </c>
      <c r="G159" s="52"/>
      <c r="H159" s="52"/>
      <c r="I159" s="52"/>
      <c r="J159" s="52"/>
      <c r="K159" s="52"/>
      <c r="L159" s="52"/>
      <c r="M159" s="113"/>
      <c r="N159" s="113"/>
      <c r="T159" s="52" t="str">
        <f t="shared" si="5"/>
        <v/>
      </c>
      <c r="U159" s="52"/>
      <c r="V159" s="52"/>
      <c r="W159" s="52"/>
      <c r="X159" s="52"/>
      <c r="Y159" s="52"/>
      <c r="Z159" s="114"/>
      <c r="AA159" s="56"/>
      <c r="AB159" s="115"/>
      <c r="AC159" s="116"/>
    </row>
    <row r="160" ht="15.75" customHeight="1">
      <c r="E160" s="112"/>
      <c r="F160" s="52" t="str">
        <f t="shared" si="6"/>
        <v/>
      </c>
      <c r="G160" s="52"/>
      <c r="H160" s="52"/>
      <c r="I160" s="52"/>
      <c r="J160" s="52"/>
      <c r="K160" s="52"/>
      <c r="L160" s="52"/>
      <c r="M160" s="113"/>
      <c r="N160" s="113"/>
      <c r="T160" s="52" t="str">
        <f t="shared" si="5"/>
        <v/>
      </c>
      <c r="U160" s="52"/>
      <c r="V160" s="52"/>
      <c r="W160" s="52"/>
      <c r="X160" s="52"/>
      <c r="Y160" s="52"/>
      <c r="Z160" s="114"/>
      <c r="AA160" s="56"/>
      <c r="AB160" s="115"/>
      <c r="AC160" s="116"/>
    </row>
    <row r="161" ht="15.75" customHeight="1">
      <c r="E161" s="112"/>
      <c r="F161" s="52" t="str">
        <f t="shared" si="6"/>
        <v/>
      </c>
      <c r="G161" s="52"/>
      <c r="H161" s="52"/>
      <c r="I161" s="52"/>
      <c r="J161" s="52"/>
      <c r="K161" s="52"/>
      <c r="L161" s="52"/>
      <c r="M161" s="113"/>
      <c r="N161" s="113"/>
      <c r="T161" s="52" t="str">
        <f t="shared" si="5"/>
        <v/>
      </c>
      <c r="U161" s="52"/>
      <c r="V161" s="52"/>
      <c r="W161" s="52"/>
      <c r="X161" s="52"/>
      <c r="Y161" s="52"/>
      <c r="Z161" s="114"/>
      <c r="AA161" s="56"/>
      <c r="AB161" s="115"/>
      <c r="AC161" s="116"/>
    </row>
    <row r="162" ht="15.75" customHeight="1">
      <c r="E162" s="112"/>
      <c r="F162" s="52" t="str">
        <f t="shared" si="6"/>
        <v/>
      </c>
      <c r="G162" s="52"/>
      <c r="H162" s="52"/>
      <c r="I162" s="52"/>
      <c r="J162" s="52"/>
      <c r="K162" s="52"/>
      <c r="L162" s="52"/>
      <c r="M162" s="113"/>
      <c r="N162" s="113"/>
      <c r="T162" s="52" t="str">
        <f t="shared" si="5"/>
        <v/>
      </c>
      <c r="U162" s="52"/>
      <c r="V162" s="52"/>
      <c r="W162" s="52"/>
      <c r="X162" s="52"/>
      <c r="Y162" s="52"/>
      <c r="Z162" s="114"/>
      <c r="AA162" s="56"/>
      <c r="AB162" s="115"/>
      <c r="AC162" s="116"/>
    </row>
    <row r="163" ht="15.75" customHeight="1">
      <c r="E163" s="112"/>
      <c r="F163" s="52" t="str">
        <f t="shared" si="6"/>
        <v/>
      </c>
      <c r="G163" s="52"/>
      <c r="H163" s="52"/>
      <c r="I163" s="52"/>
      <c r="J163" s="52"/>
      <c r="K163" s="52"/>
      <c r="L163" s="52"/>
      <c r="M163" s="113"/>
      <c r="N163" s="113"/>
      <c r="T163" s="52" t="str">
        <f t="shared" si="5"/>
        <v/>
      </c>
      <c r="U163" s="52"/>
      <c r="V163" s="52"/>
      <c r="W163" s="52"/>
      <c r="X163" s="52"/>
      <c r="Y163" s="52"/>
      <c r="Z163" s="114"/>
      <c r="AA163" s="56"/>
      <c r="AB163" s="115"/>
      <c r="AC163" s="116"/>
    </row>
    <row r="164" ht="15.75" customHeight="1">
      <c r="E164" s="112"/>
      <c r="F164" s="52" t="str">
        <f t="shared" si="6"/>
        <v/>
      </c>
      <c r="G164" s="52"/>
      <c r="H164" s="52"/>
      <c r="I164" s="52"/>
      <c r="J164" s="52"/>
      <c r="K164" s="52"/>
      <c r="L164" s="52"/>
      <c r="M164" s="113"/>
      <c r="N164" s="113"/>
      <c r="T164" s="52" t="str">
        <f t="shared" si="5"/>
        <v/>
      </c>
      <c r="U164" s="52"/>
      <c r="V164" s="52"/>
      <c r="W164" s="52"/>
      <c r="X164" s="52"/>
      <c r="Y164" s="52"/>
      <c r="Z164" s="114"/>
      <c r="AA164" s="56"/>
      <c r="AB164" s="115"/>
      <c r="AC164" s="116"/>
    </row>
    <row r="165" ht="15.75" customHeight="1">
      <c r="E165" s="112"/>
      <c r="F165" s="52" t="str">
        <f t="shared" si="6"/>
        <v/>
      </c>
      <c r="G165" s="52"/>
      <c r="H165" s="52"/>
      <c r="I165" s="52"/>
      <c r="J165" s="52"/>
      <c r="K165" s="52"/>
      <c r="L165" s="52"/>
      <c r="M165" s="113"/>
      <c r="N165" s="113"/>
      <c r="T165" s="52" t="str">
        <f t="shared" si="5"/>
        <v/>
      </c>
      <c r="U165" s="52"/>
      <c r="V165" s="52"/>
      <c r="W165" s="52"/>
      <c r="X165" s="52"/>
      <c r="Y165" s="52"/>
      <c r="Z165" s="114"/>
      <c r="AA165" s="56"/>
      <c r="AB165" s="115"/>
      <c r="AC165" s="116"/>
    </row>
    <row r="166" ht="15.75" customHeight="1">
      <c r="E166" s="112"/>
      <c r="F166" s="52" t="str">
        <f t="shared" si="6"/>
        <v/>
      </c>
      <c r="G166" s="52"/>
      <c r="H166" s="52"/>
      <c r="I166" s="52"/>
      <c r="J166" s="52"/>
      <c r="K166" s="52"/>
      <c r="L166" s="52"/>
      <c r="M166" s="113"/>
      <c r="N166" s="113"/>
      <c r="T166" s="52" t="str">
        <f t="shared" si="5"/>
        <v/>
      </c>
      <c r="U166" s="52"/>
      <c r="V166" s="52"/>
      <c r="W166" s="52"/>
      <c r="X166" s="52"/>
      <c r="Y166" s="52"/>
      <c r="Z166" s="114"/>
      <c r="AA166" s="56"/>
      <c r="AB166" s="115"/>
      <c r="AC166" s="116"/>
    </row>
    <row r="167" ht="15.75" customHeight="1">
      <c r="E167" s="112"/>
      <c r="F167" s="52" t="str">
        <f t="shared" si="6"/>
        <v/>
      </c>
      <c r="G167" s="52"/>
      <c r="H167" s="52"/>
      <c r="I167" s="52"/>
      <c r="J167" s="52"/>
      <c r="K167" s="52"/>
      <c r="L167" s="52"/>
      <c r="M167" s="113"/>
      <c r="N167" s="113"/>
      <c r="T167" s="52" t="str">
        <f t="shared" si="5"/>
        <v/>
      </c>
      <c r="U167" s="52"/>
      <c r="V167" s="52"/>
      <c r="W167" s="52"/>
      <c r="X167" s="52"/>
      <c r="Y167" s="52"/>
      <c r="Z167" s="114"/>
      <c r="AA167" s="56"/>
      <c r="AB167" s="115"/>
      <c r="AC167" s="116"/>
    </row>
    <row r="168" ht="15.75" customHeight="1">
      <c r="E168" s="112"/>
      <c r="F168" s="52" t="str">
        <f t="shared" si="6"/>
        <v/>
      </c>
      <c r="G168" s="52"/>
      <c r="H168" s="52"/>
      <c r="I168" s="52"/>
      <c r="J168" s="52"/>
      <c r="K168" s="52"/>
      <c r="L168" s="52"/>
      <c r="M168" s="113"/>
      <c r="N168" s="113"/>
      <c r="T168" s="52" t="str">
        <f t="shared" si="5"/>
        <v/>
      </c>
      <c r="U168" s="52"/>
      <c r="V168" s="52"/>
      <c r="W168" s="52"/>
      <c r="X168" s="52"/>
      <c r="Y168" s="52"/>
      <c r="Z168" s="114"/>
      <c r="AA168" s="56"/>
      <c r="AB168" s="115"/>
      <c r="AC168" s="116"/>
    </row>
    <row r="169" ht="15.75" customHeight="1">
      <c r="E169" s="112"/>
      <c r="F169" s="52" t="str">
        <f t="shared" si="6"/>
        <v/>
      </c>
      <c r="G169" s="52"/>
      <c r="H169" s="52"/>
      <c r="I169" s="52"/>
      <c r="J169" s="52"/>
      <c r="K169" s="52"/>
      <c r="L169" s="52"/>
      <c r="M169" s="113"/>
      <c r="N169" s="113"/>
      <c r="T169" s="52" t="str">
        <f t="shared" si="5"/>
        <v/>
      </c>
      <c r="U169" s="52"/>
      <c r="V169" s="52"/>
      <c r="W169" s="52"/>
      <c r="X169" s="52"/>
      <c r="Y169" s="52"/>
      <c r="Z169" s="114"/>
      <c r="AA169" s="56"/>
      <c r="AB169" s="115"/>
      <c r="AC169" s="116"/>
    </row>
    <row r="170" ht="15.75" customHeight="1">
      <c r="E170" s="112"/>
      <c r="F170" s="52" t="str">
        <f t="shared" si="6"/>
        <v/>
      </c>
      <c r="G170" s="52"/>
      <c r="H170" s="52"/>
      <c r="I170" s="52"/>
      <c r="J170" s="52"/>
      <c r="K170" s="52"/>
      <c r="L170" s="52"/>
      <c r="M170" s="113"/>
      <c r="N170" s="113"/>
      <c r="T170" s="52" t="str">
        <f t="shared" si="5"/>
        <v/>
      </c>
      <c r="U170" s="52"/>
      <c r="V170" s="52"/>
      <c r="W170" s="52"/>
      <c r="X170" s="52"/>
      <c r="Y170" s="52"/>
      <c r="Z170" s="114"/>
      <c r="AA170" s="56"/>
      <c r="AB170" s="115"/>
      <c r="AC170" s="116"/>
    </row>
    <row r="171" ht="15.75" customHeight="1">
      <c r="E171" s="112"/>
      <c r="F171" s="52" t="str">
        <f t="shared" si="6"/>
        <v/>
      </c>
      <c r="G171" s="52"/>
      <c r="H171" s="52"/>
      <c r="I171" s="52"/>
      <c r="J171" s="52"/>
      <c r="K171" s="52"/>
      <c r="L171" s="52"/>
      <c r="M171" s="113"/>
      <c r="N171" s="113"/>
      <c r="T171" s="52" t="str">
        <f t="shared" si="5"/>
        <v/>
      </c>
      <c r="U171" s="52"/>
      <c r="V171" s="52"/>
      <c r="W171" s="52"/>
      <c r="X171" s="52"/>
      <c r="Y171" s="52"/>
      <c r="Z171" s="114"/>
      <c r="AA171" s="56"/>
      <c r="AB171" s="115"/>
      <c r="AC171" s="116"/>
    </row>
    <row r="172" ht="15.75" customHeight="1">
      <c r="E172" s="112"/>
      <c r="F172" s="52" t="str">
        <f t="shared" si="6"/>
        <v/>
      </c>
      <c r="G172" s="52"/>
      <c r="H172" s="52"/>
      <c r="I172" s="52"/>
      <c r="J172" s="52"/>
      <c r="K172" s="52"/>
      <c r="L172" s="52"/>
      <c r="M172" s="113"/>
      <c r="N172" s="113"/>
      <c r="T172" s="52" t="str">
        <f t="shared" si="5"/>
        <v/>
      </c>
      <c r="U172" s="52"/>
      <c r="V172" s="52"/>
      <c r="W172" s="52"/>
      <c r="X172" s="52"/>
      <c r="Y172" s="52"/>
      <c r="Z172" s="114"/>
      <c r="AA172" s="56"/>
      <c r="AB172" s="115"/>
      <c r="AC172" s="116"/>
    </row>
    <row r="173" ht="15.75" customHeight="1">
      <c r="E173" s="112"/>
      <c r="F173" s="52" t="str">
        <f t="shared" si="6"/>
        <v/>
      </c>
      <c r="G173" s="52"/>
      <c r="H173" s="52"/>
      <c r="I173" s="52"/>
      <c r="J173" s="52"/>
      <c r="K173" s="52"/>
      <c r="L173" s="52"/>
      <c r="M173" s="113"/>
      <c r="N173" s="113"/>
      <c r="T173" s="52" t="str">
        <f t="shared" si="5"/>
        <v/>
      </c>
      <c r="U173" s="52"/>
      <c r="V173" s="52"/>
      <c r="W173" s="52"/>
      <c r="X173" s="52"/>
      <c r="Y173" s="52"/>
      <c r="Z173" s="114"/>
      <c r="AA173" s="56"/>
      <c r="AB173" s="115"/>
      <c r="AC173" s="116"/>
    </row>
    <row r="174" ht="15.75" customHeight="1">
      <c r="E174" s="112"/>
      <c r="F174" s="52" t="str">
        <f t="shared" si="6"/>
        <v/>
      </c>
      <c r="G174" s="52"/>
      <c r="H174" s="52"/>
      <c r="I174" s="52"/>
      <c r="J174" s="52"/>
      <c r="K174" s="52"/>
      <c r="L174" s="52"/>
      <c r="M174" s="113"/>
      <c r="N174" s="113"/>
      <c r="T174" s="52" t="str">
        <f t="shared" si="5"/>
        <v/>
      </c>
      <c r="U174" s="52"/>
      <c r="V174" s="52"/>
      <c r="W174" s="52"/>
      <c r="X174" s="52"/>
      <c r="Y174" s="52"/>
      <c r="Z174" s="114"/>
      <c r="AA174" s="56"/>
      <c r="AB174" s="115"/>
      <c r="AC174" s="116"/>
    </row>
    <row r="175" ht="15.75" customHeight="1">
      <c r="E175" s="112"/>
      <c r="F175" s="52" t="str">
        <f t="shared" si="6"/>
        <v/>
      </c>
      <c r="G175" s="52"/>
      <c r="H175" s="52"/>
      <c r="I175" s="52"/>
      <c r="J175" s="52"/>
      <c r="K175" s="52"/>
      <c r="L175" s="52"/>
      <c r="M175" s="113"/>
      <c r="N175" s="113"/>
      <c r="T175" s="52" t="str">
        <f t="shared" si="5"/>
        <v/>
      </c>
      <c r="U175" s="52"/>
      <c r="V175" s="52"/>
      <c r="W175" s="52"/>
      <c r="X175" s="52"/>
      <c r="Y175" s="52"/>
      <c r="Z175" s="114"/>
      <c r="AA175" s="56"/>
      <c r="AB175" s="115"/>
      <c r="AC175" s="116"/>
    </row>
    <row r="176" ht="15.75" customHeight="1">
      <c r="E176" s="112"/>
      <c r="F176" s="52" t="str">
        <f t="shared" si="6"/>
        <v/>
      </c>
      <c r="G176" s="52"/>
      <c r="H176" s="52"/>
      <c r="I176" s="52"/>
      <c r="J176" s="52"/>
      <c r="K176" s="52"/>
      <c r="L176" s="52"/>
      <c r="M176" s="113"/>
      <c r="N176" s="113"/>
      <c r="T176" s="52" t="str">
        <f t="shared" si="5"/>
        <v/>
      </c>
      <c r="U176" s="52"/>
      <c r="V176" s="52"/>
      <c r="W176" s="52"/>
      <c r="X176" s="52"/>
      <c r="Y176" s="52"/>
      <c r="Z176" s="114"/>
      <c r="AA176" s="56"/>
      <c r="AB176" s="115"/>
      <c r="AC176" s="116"/>
    </row>
    <row r="177" ht="15.75" customHeight="1">
      <c r="E177" s="112"/>
      <c r="F177" s="52" t="str">
        <f t="shared" si="6"/>
        <v/>
      </c>
      <c r="G177" s="52"/>
      <c r="H177" s="52"/>
      <c r="I177" s="52"/>
      <c r="J177" s="52"/>
      <c r="K177" s="52"/>
      <c r="L177" s="52"/>
      <c r="M177" s="113"/>
      <c r="N177" s="113"/>
      <c r="T177" s="52" t="str">
        <f t="shared" si="5"/>
        <v/>
      </c>
      <c r="U177" s="52"/>
      <c r="V177" s="52"/>
      <c r="W177" s="52"/>
      <c r="X177" s="52"/>
      <c r="Y177" s="52"/>
      <c r="Z177" s="114"/>
      <c r="AA177" s="56"/>
      <c r="AB177" s="115"/>
      <c r="AC177" s="116"/>
    </row>
    <row r="178" ht="15.75" customHeight="1">
      <c r="E178" s="112"/>
      <c r="F178" s="52" t="str">
        <f t="shared" si="6"/>
        <v/>
      </c>
      <c r="G178" s="52"/>
      <c r="H178" s="52"/>
      <c r="I178" s="52"/>
      <c r="J178" s="52"/>
      <c r="K178" s="52"/>
      <c r="L178" s="52"/>
      <c r="M178" s="113"/>
      <c r="N178" s="113"/>
      <c r="T178" s="52" t="str">
        <f t="shared" si="5"/>
        <v/>
      </c>
      <c r="U178" s="52"/>
      <c r="V178" s="52"/>
      <c r="W178" s="52"/>
      <c r="X178" s="52"/>
      <c r="Y178" s="52"/>
      <c r="Z178" s="114"/>
      <c r="AA178" s="56"/>
      <c r="AB178" s="115"/>
      <c r="AC178" s="116"/>
    </row>
    <row r="179" ht="15.75" customHeight="1">
      <c r="E179" s="112"/>
      <c r="F179" s="52" t="str">
        <f t="shared" si="6"/>
        <v/>
      </c>
      <c r="G179" s="52"/>
      <c r="H179" s="52"/>
      <c r="I179" s="52"/>
      <c r="J179" s="52"/>
      <c r="K179" s="52"/>
      <c r="L179" s="52"/>
      <c r="M179" s="113"/>
      <c r="N179" s="113"/>
      <c r="T179" s="52" t="str">
        <f t="shared" si="5"/>
        <v/>
      </c>
      <c r="U179" s="52"/>
      <c r="V179" s="52"/>
      <c r="W179" s="52"/>
      <c r="X179" s="52"/>
      <c r="Y179" s="52"/>
      <c r="Z179" s="114"/>
      <c r="AA179" s="56"/>
      <c r="AB179" s="115"/>
      <c r="AC179" s="116"/>
    </row>
    <row r="180" ht="15.75" customHeight="1">
      <c r="E180" s="112"/>
      <c r="F180" s="52" t="str">
        <f t="shared" si="6"/>
        <v/>
      </c>
      <c r="G180" s="52"/>
      <c r="H180" s="52"/>
      <c r="I180" s="52"/>
      <c r="J180" s="52"/>
      <c r="K180" s="52"/>
      <c r="L180" s="52"/>
      <c r="M180" s="113"/>
      <c r="N180" s="113"/>
      <c r="T180" s="52" t="str">
        <f t="shared" si="5"/>
        <v/>
      </c>
      <c r="U180" s="52"/>
      <c r="V180" s="52"/>
      <c r="W180" s="52"/>
      <c r="X180" s="52"/>
      <c r="Y180" s="52"/>
      <c r="Z180" s="114"/>
      <c r="AA180" s="56"/>
      <c r="AB180" s="115"/>
      <c r="AC180" s="116"/>
    </row>
    <row r="181" ht="15.75" customHeight="1">
      <c r="E181" s="112"/>
      <c r="F181" s="52" t="str">
        <f t="shared" si="6"/>
        <v/>
      </c>
      <c r="G181" s="52"/>
      <c r="H181" s="52"/>
      <c r="I181" s="52"/>
      <c r="J181" s="52"/>
      <c r="K181" s="52"/>
      <c r="L181" s="52"/>
      <c r="M181" s="113"/>
      <c r="N181" s="113"/>
      <c r="T181" s="52" t="str">
        <f t="shared" si="5"/>
        <v/>
      </c>
      <c r="U181" s="52"/>
      <c r="V181" s="52"/>
      <c r="W181" s="52"/>
      <c r="X181" s="52"/>
      <c r="Y181" s="52"/>
      <c r="Z181" s="114"/>
      <c r="AA181" s="56"/>
      <c r="AB181" s="115"/>
      <c r="AC181" s="116"/>
    </row>
    <row r="182" ht="15.75" customHeight="1">
      <c r="E182" s="112"/>
      <c r="F182" s="52" t="str">
        <f t="shared" si="6"/>
        <v/>
      </c>
      <c r="G182" s="52"/>
      <c r="H182" s="52"/>
      <c r="I182" s="52"/>
      <c r="J182" s="52"/>
      <c r="K182" s="52"/>
      <c r="L182" s="52"/>
      <c r="M182" s="113"/>
      <c r="N182" s="113"/>
      <c r="T182" s="52" t="str">
        <f t="shared" si="5"/>
        <v/>
      </c>
      <c r="U182" s="52"/>
      <c r="V182" s="52"/>
      <c r="W182" s="52"/>
      <c r="X182" s="52"/>
      <c r="Y182" s="52"/>
      <c r="Z182" s="114"/>
      <c r="AA182" s="56"/>
      <c r="AB182" s="115"/>
      <c r="AC182" s="116"/>
    </row>
    <row r="183" ht="15.75" customHeight="1">
      <c r="E183" s="112"/>
      <c r="F183" s="52" t="str">
        <f t="shared" si="6"/>
        <v/>
      </c>
      <c r="G183" s="52"/>
      <c r="H183" s="52"/>
      <c r="I183" s="52"/>
      <c r="J183" s="52"/>
      <c r="K183" s="52"/>
      <c r="L183" s="52"/>
      <c r="M183" s="113"/>
      <c r="N183" s="113"/>
      <c r="T183" s="52" t="str">
        <f t="shared" si="5"/>
        <v/>
      </c>
      <c r="U183" s="52"/>
      <c r="V183" s="52"/>
      <c r="W183" s="52"/>
      <c r="X183" s="52"/>
      <c r="Y183" s="52"/>
      <c r="Z183" s="114"/>
      <c r="AA183" s="56"/>
      <c r="AB183" s="115"/>
      <c r="AC183" s="116"/>
    </row>
    <row r="184" ht="15.75" customHeight="1">
      <c r="E184" s="112"/>
      <c r="F184" s="52" t="str">
        <f t="shared" si="6"/>
        <v/>
      </c>
      <c r="G184" s="52"/>
      <c r="H184" s="52"/>
      <c r="I184" s="52"/>
      <c r="J184" s="52"/>
      <c r="K184" s="52"/>
      <c r="L184" s="52"/>
      <c r="M184" s="113"/>
      <c r="N184" s="113"/>
      <c r="T184" s="52" t="str">
        <f t="shared" si="5"/>
        <v/>
      </c>
      <c r="U184" s="52"/>
      <c r="V184" s="52"/>
      <c r="W184" s="52"/>
      <c r="X184" s="52"/>
      <c r="Y184" s="52"/>
      <c r="Z184" s="114"/>
      <c r="AA184" s="56"/>
      <c r="AB184" s="115"/>
      <c r="AC184" s="116"/>
    </row>
    <row r="185" ht="15.75" customHeight="1">
      <c r="E185" s="112"/>
      <c r="F185" s="52" t="str">
        <f t="shared" si="6"/>
        <v/>
      </c>
      <c r="G185" s="52"/>
      <c r="H185" s="52"/>
      <c r="I185" s="52"/>
      <c r="J185" s="52"/>
      <c r="K185" s="52"/>
      <c r="L185" s="52"/>
      <c r="M185" s="113"/>
      <c r="N185" s="113"/>
      <c r="T185" s="52" t="str">
        <f t="shared" si="5"/>
        <v/>
      </c>
      <c r="U185" s="52"/>
      <c r="V185" s="52"/>
      <c r="W185" s="52"/>
      <c r="X185" s="52"/>
      <c r="Y185" s="52"/>
      <c r="Z185" s="114"/>
      <c r="AA185" s="56"/>
      <c r="AB185" s="115"/>
      <c r="AC185" s="116"/>
    </row>
    <row r="186" ht="15.75" customHeight="1">
      <c r="E186" s="112"/>
      <c r="F186" s="52" t="str">
        <f t="shared" si="6"/>
        <v/>
      </c>
      <c r="G186" s="52"/>
      <c r="H186" s="52"/>
      <c r="I186" s="52"/>
      <c r="J186" s="52"/>
      <c r="K186" s="52"/>
      <c r="L186" s="52"/>
      <c r="M186" s="113"/>
      <c r="N186" s="113"/>
      <c r="T186" s="52" t="str">
        <f t="shared" si="5"/>
        <v/>
      </c>
      <c r="U186" s="52"/>
      <c r="V186" s="52"/>
      <c r="W186" s="52"/>
      <c r="X186" s="52"/>
      <c r="Y186" s="52"/>
      <c r="Z186" s="114"/>
      <c r="AA186" s="56"/>
      <c r="AB186" s="115"/>
      <c r="AC186" s="116"/>
    </row>
    <row r="187" ht="15.75" customHeight="1">
      <c r="E187" s="112"/>
      <c r="F187" s="52" t="str">
        <f t="shared" si="6"/>
        <v/>
      </c>
      <c r="G187" s="52"/>
      <c r="H187" s="52"/>
      <c r="I187" s="52"/>
      <c r="J187" s="52"/>
      <c r="K187" s="52"/>
      <c r="L187" s="52"/>
      <c r="M187" s="113"/>
      <c r="N187" s="113"/>
      <c r="T187" s="52" t="str">
        <f t="shared" si="5"/>
        <v/>
      </c>
      <c r="U187" s="52"/>
      <c r="V187" s="52"/>
      <c r="W187" s="52"/>
      <c r="X187" s="52"/>
      <c r="Y187" s="52"/>
      <c r="Z187" s="114"/>
      <c r="AA187" s="56"/>
      <c r="AB187" s="115"/>
      <c r="AC187" s="116"/>
    </row>
    <row r="188" ht="15.75" customHeight="1">
      <c r="E188" s="112"/>
      <c r="F188" s="52" t="str">
        <f t="shared" si="6"/>
        <v/>
      </c>
      <c r="G188" s="52"/>
      <c r="H188" s="52"/>
      <c r="I188" s="52"/>
      <c r="J188" s="52"/>
      <c r="K188" s="52"/>
      <c r="L188" s="52"/>
      <c r="M188" s="113"/>
      <c r="N188" s="113"/>
      <c r="T188" s="52" t="str">
        <f t="shared" si="5"/>
        <v/>
      </c>
      <c r="U188" s="52"/>
      <c r="V188" s="52"/>
      <c r="W188" s="52"/>
      <c r="X188" s="52"/>
      <c r="Y188" s="52"/>
      <c r="Z188" s="114"/>
      <c r="AA188" s="56"/>
      <c r="AB188" s="115"/>
      <c r="AC188" s="116"/>
    </row>
    <row r="189" ht="15.75" customHeight="1">
      <c r="E189" s="112"/>
      <c r="F189" s="52" t="str">
        <f t="shared" si="6"/>
        <v/>
      </c>
      <c r="G189" s="52"/>
      <c r="H189" s="52"/>
      <c r="I189" s="52"/>
      <c r="J189" s="52"/>
      <c r="K189" s="52"/>
      <c r="L189" s="52"/>
      <c r="M189" s="113"/>
      <c r="N189" s="113"/>
      <c r="T189" s="52" t="str">
        <f t="shared" si="5"/>
        <v/>
      </c>
      <c r="U189" s="52"/>
      <c r="V189" s="52"/>
      <c r="W189" s="52"/>
      <c r="X189" s="52"/>
      <c r="Y189" s="52"/>
      <c r="Z189" s="114"/>
      <c r="AA189" s="56"/>
      <c r="AB189" s="115"/>
      <c r="AC189" s="116"/>
    </row>
    <row r="190" ht="15.75" customHeight="1">
      <c r="E190" s="112"/>
      <c r="F190" s="52" t="str">
        <f t="shared" si="6"/>
        <v/>
      </c>
      <c r="G190" s="52"/>
      <c r="H190" s="52"/>
      <c r="I190" s="52"/>
      <c r="J190" s="52"/>
      <c r="K190" s="52"/>
      <c r="L190" s="52"/>
      <c r="M190" s="113"/>
      <c r="N190" s="113"/>
      <c r="T190" s="52" t="str">
        <f t="shared" si="5"/>
        <v/>
      </c>
      <c r="U190" s="52"/>
      <c r="V190" s="52"/>
      <c r="W190" s="52"/>
      <c r="X190" s="52"/>
      <c r="Y190" s="52"/>
      <c r="Z190" s="114"/>
      <c r="AA190" s="56"/>
      <c r="AB190" s="115"/>
      <c r="AC190" s="116"/>
    </row>
    <row r="191" ht="15.75" customHeight="1">
      <c r="E191" s="112"/>
      <c r="F191" s="52" t="str">
        <f t="shared" si="6"/>
        <v/>
      </c>
      <c r="G191" s="52"/>
      <c r="H191" s="52"/>
      <c r="I191" s="52"/>
      <c r="J191" s="52"/>
      <c r="K191" s="52"/>
      <c r="L191" s="52"/>
      <c r="M191" s="113"/>
      <c r="N191" s="113"/>
      <c r="T191" s="52" t="str">
        <f t="shared" si="5"/>
        <v/>
      </c>
      <c r="U191" s="52"/>
      <c r="V191" s="52"/>
      <c r="W191" s="52"/>
      <c r="X191" s="52"/>
      <c r="Y191" s="52"/>
      <c r="Z191" s="114"/>
      <c r="AA191" s="56"/>
      <c r="AB191" s="115"/>
      <c r="AC191" s="116"/>
    </row>
    <row r="192" ht="15.75" customHeight="1">
      <c r="E192" s="112"/>
      <c r="F192" s="52" t="str">
        <f t="shared" si="6"/>
        <v/>
      </c>
      <c r="G192" s="52"/>
      <c r="H192" s="52"/>
      <c r="I192" s="52"/>
      <c r="J192" s="52"/>
      <c r="K192" s="52"/>
      <c r="L192" s="52"/>
      <c r="M192" s="113"/>
      <c r="N192" s="113"/>
      <c r="T192" s="52" t="str">
        <f t="shared" si="5"/>
        <v/>
      </c>
      <c r="U192" s="52"/>
      <c r="V192" s="52"/>
      <c r="W192" s="52"/>
      <c r="X192" s="52"/>
      <c r="Y192" s="52"/>
      <c r="Z192" s="114"/>
      <c r="AA192" s="56"/>
      <c r="AB192" s="115"/>
      <c r="AC192" s="116"/>
    </row>
    <row r="193" ht="15.75" customHeight="1">
      <c r="E193" s="112"/>
      <c r="F193" s="52" t="str">
        <f t="shared" si="6"/>
        <v/>
      </c>
      <c r="G193" s="52"/>
      <c r="H193" s="52"/>
      <c r="I193" s="52"/>
      <c r="J193" s="52"/>
      <c r="K193" s="52"/>
      <c r="L193" s="52"/>
      <c r="M193" s="113"/>
      <c r="N193" s="113"/>
      <c r="T193" s="52" t="str">
        <f t="shared" si="5"/>
        <v/>
      </c>
      <c r="U193" s="52"/>
      <c r="V193" s="52"/>
      <c r="W193" s="52"/>
      <c r="X193" s="52"/>
      <c r="Y193" s="52"/>
      <c r="Z193" s="114"/>
      <c r="AA193" s="56"/>
      <c r="AB193" s="115"/>
      <c r="AC193" s="116"/>
    </row>
    <row r="194" ht="15.75" customHeight="1">
      <c r="E194" s="112"/>
      <c r="F194" s="52" t="str">
        <f t="shared" si="6"/>
        <v/>
      </c>
      <c r="G194" s="52"/>
      <c r="H194" s="52"/>
      <c r="I194" s="52"/>
      <c r="J194" s="52"/>
      <c r="K194" s="52"/>
      <c r="L194" s="52"/>
      <c r="M194" s="113"/>
      <c r="N194" s="113"/>
      <c r="T194" s="52" t="str">
        <f t="shared" si="5"/>
        <v/>
      </c>
      <c r="U194" s="52"/>
      <c r="V194" s="52"/>
      <c r="W194" s="52"/>
      <c r="X194" s="52"/>
      <c r="Y194" s="52"/>
      <c r="Z194" s="114"/>
      <c r="AA194" s="56"/>
      <c r="AB194" s="115"/>
      <c r="AC194" s="116"/>
    </row>
    <row r="195" ht="15.75" customHeight="1">
      <c r="E195" s="112"/>
      <c r="F195" s="52" t="str">
        <f t="shared" si="6"/>
        <v/>
      </c>
      <c r="G195" s="52"/>
      <c r="H195" s="52"/>
      <c r="I195" s="52"/>
      <c r="J195" s="52"/>
      <c r="K195" s="52"/>
      <c r="L195" s="52"/>
      <c r="M195" s="113"/>
      <c r="N195" s="113"/>
      <c r="T195" s="52" t="str">
        <f t="shared" si="5"/>
        <v/>
      </c>
      <c r="U195" s="52"/>
      <c r="V195" s="52"/>
      <c r="W195" s="52"/>
      <c r="X195" s="52"/>
      <c r="Y195" s="52"/>
      <c r="Z195" s="114"/>
      <c r="AA195" s="56"/>
      <c r="AB195" s="115"/>
      <c r="AC195" s="116"/>
    </row>
    <row r="196" ht="15.75" customHeight="1">
      <c r="E196" s="112"/>
      <c r="F196" s="52" t="str">
        <f t="shared" si="6"/>
        <v/>
      </c>
      <c r="G196" s="52"/>
      <c r="H196" s="52"/>
      <c r="I196" s="52"/>
      <c r="J196" s="52"/>
      <c r="K196" s="52"/>
      <c r="L196" s="52"/>
      <c r="M196" s="113"/>
      <c r="N196" s="113"/>
      <c r="T196" s="52" t="str">
        <f t="shared" si="5"/>
        <v/>
      </c>
      <c r="U196" s="52"/>
      <c r="V196" s="52"/>
      <c r="W196" s="52"/>
      <c r="X196" s="52"/>
      <c r="Y196" s="52"/>
      <c r="Z196" s="114"/>
      <c r="AA196" s="56"/>
      <c r="AB196" s="115"/>
      <c r="AC196" s="116"/>
    </row>
    <row r="197" ht="15.75" customHeight="1">
      <c r="E197" s="112"/>
      <c r="F197" s="52" t="str">
        <f t="shared" si="6"/>
        <v/>
      </c>
      <c r="G197" s="52"/>
      <c r="H197" s="52"/>
      <c r="I197" s="52"/>
      <c r="J197" s="52"/>
      <c r="K197" s="52"/>
      <c r="L197" s="52"/>
      <c r="M197" s="113"/>
      <c r="N197" s="113"/>
      <c r="T197" s="52" t="str">
        <f t="shared" si="5"/>
        <v/>
      </c>
      <c r="U197" s="52"/>
      <c r="V197" s="52"/>
      <c r="W197" s="52"/>
      <c r="X197" s="52"/>
      <c r="Y197" s="52"/>
      <c r="Z197" s="114"/>
      <c r="AA197" s="56"/>
      <c r="AB197" s="115"/>
      <c r="AC197" s="116"/>
    </row>
    <row r="198" ht="15.75" customHeight="1">
      <c r="E198" s="112"/>
      <c r="F198" s="52" t="str">
        <f t="shared" si="6"/>
        <v/>
      </c>
      <c r="G198" s="52"/>
      <c r="H198" s="52"/>
      <c r="I198" s="52"/>
      <c r="J198" s="52"/>
      <c r="K198" s="52"/>
      <c r="L198" s="52"/>
      <c r="M198" s="113"/>
      <c r="N198" s="113"/>
      <c r="T198" s="52" t="str">
        <f t="shared" si="5"/>
        <v/>
      </c>
      <c r="U198" s="52"/>
      <c r="V198" s="52"/>
      <c r="W198" s="52"/>
      <c r="X198" s="52"/>
      <c r="Y198" s="52"/>
      <c r="Z198" s="114"/>
      <c r="AA198" s="56"/>
      <c r="AB198" s="115"/>
      <c r="AC198" s="116"/>
    </row>
    <row r="199" ht="15.75" customHeight="1">
      <c r="M199" s="113"/>
      <c r="N199" s="113"/>
      <c r="AA199" s="117"/>
      <c r="AB199" s="118"/>
    </row>
    <row r="200" ht="15.75" customHeight="1">
      <c r="M200" s="113"/>
      <c r="N200" s="113"/>
      <c r="AA200" s="117"/>
      <c r="AB200" s="118"/>
    </row>
    <row r="201" ht="15.75" customHeight="1">
      <c r="M201" s="113"/>
      <c r="N201" s="113"/>
      <c r="AA201" s="117"/>
      <c r="AB201" s="118"/>
    </row>
    <row r="202" ht="15.75" customHeight="1">
      <c r="M202" s="113"/>
      <c r="N202" s="113"/>
      <c r="AA202" s="117"/>
      <c r="AB202" s="118"/>
    </row>
    <row r="203" ht="15.75" customHeight="1">
      <c r="M203" s="113"/>
      <c r="N203" s="113"/>
      <c r="AA203" s="117"/>
      <c r="AB203" s="118"/>
    </row>
    <row r="204" ht="15.75" customHeight="1">
      <c r="M204" s="113"/>
      <c r="N204" s="113"/>
      <c r="AA204" s="117"/>
      <c r="AB204" s="118"/>
    </row>
    <row r="205" ht="15.75" customHeight="1">
      <c r="M205" s="113"/>
      <c r="N205" s="113"/>
      <c r="AA205" s="117"/>
      <c r="AB205" s="118"/>
    </row>
    <row r="206" ht="15.75" customHeight="1">
      <c r="M206" s="113"/>
      <c r="N206" s="113"/>
      <c r="AA206" s="117"/>
      <c r="AB206" s="118"/>
    </row>
    <row r="207" ht="15.75" customHeight="1">
      <c r="M207" s="113"/>
      <c r="N207" s="113"/>
      <c r="AA207" s="117"/>
      <c r="AB207" s="118"/>
    </row>
    <row r="208" ht="15.75" customHeight="1">
      <c r="M208" s="113"/>
      <c r="N208" s="113"/>
      <c r="AA208" s="117"/>
      <c r="AB208" s="118"/>
    </row>
    <row r="209" ht="15.75" customHeight="1">
      <c r="M209" s="113"/>
      <c r="N209" s="113"/>
      <c r="AA209" s="117"/>
      <c r="AB209" s="118"/>
    </row>
    <row r="210" ht="15.75" customHeight="1">
      <c r="M210" s="113"/>
      <c r="N210" s="113"/>
      <c r="AA210" s="117"/>
      <c r="AB210" s="118"/>
    </row>
    <row r="211" ht="15.75" customHeight="1">
      <c r="M211" s="113"/>
      <c r="N211" s="113"/>
      <c r="AA211" s="117"/>
      <c r="AB211" s="118"/>
    </row>
    <row r="212" ht="15.75" customHeight="1">
      <c r="M212" s="113"/>
      <c r="N212" s="113"/>
      <c r="AA212" s="117"/>
      <c r="AB212" s="118"/>
    </row>
    <row r="213" ht="15.75" customHeight="1">
      <c r="M213" s="113"/>
      <c r="N213" s="113"/>
      <c r="AA213" s="117"/>
      <c r="AB213" s="118"/>
    </row>
    <row r="214" ht="15.75" customHeight="1">
      <c r="M214" s="113"/>
      <c r="N214" s="113"/>
      <c r="AA214" s="117"/>
      <c r="AB214" s="118"/>
    </row>
    <row r="215" ht="15.75" customHeight="1">
      <c r="M215" s="113"/>
      <c r="N215" s="113"/>
      <c r="AA215" s="117"/>
      <c r="AB215" s="118"/>
    </row>
    <row r="216" ht="15.75" customHeight="1">
      <c r="M216" s="113"/>
      <c r="N216" s="113"/>
      <c r="AA216" s="117"/>
      <c r="AB216" s="118"/>
    </row>
    <row r="217" ht="15.75" customHeight="1">
      <c r="M217" s="113"/>
      <c r="N217" s="113"/>
      <c r="AA217" s="117"/>
      <c r="AB217" s="118"/>
    </row>
    <row r="218" ht="15.75" customHeight="1">
      <c r="M218" s="113"/>
      <c r="N218" s="113"/>
      <c r="AA218" s="117"/>
      <c r="AB218" s="118"/>
    </row>
    <row r="219" ht="15.75" customHeight="1">
      <c r="M219" s="113"/>
      <c r="N219" s="113"/>
      <c r="AA219" s="117"/>
      <c r="AB219" s="118"/>
    </row>
    <row r="220" ht="15.75" customHeight="1">
      <c r="M220" s="113"/>
      <c r="N220" s="113"/>
      <c r="AA220" s="117"/>
      <c r="AB220" s="118"/>
    </row>
    <row r="221" ht="15.75" customHeight="1">
      <c r="M221" s="113"/>
      <c r="N221" s="113"/>
      <c r="AA221" s="117"/>
      <c r="AB221" s="118"/>
    </row>
    <row r="222" ht="15.75" customHeight="1">
      <c r="M222" s="113"/>
      <c r="N222" s="113"/>
      <c r="AA222" s="117"/>
      <c r="AB222" s="118"/>
    </row>
    <row r="223" ht="15.75" customHeight="1">
      <c r="M223" s="113"/>
      <c r="N223" s="113"/>
      <c r="AA223" s="117"/>
      <c r="AB223" s="118"/>
    </row>
    <row r="224" ht="15.75" customHeight="1">
      <c r="M224" s="113"/>
      <c r="N224" s="113"/>
      <c r="AA224" s="117"/>
      <c r="AB224" s="118"/>
    </row>
    <row r="225" ht="15.75" customHeight="1">
      <c r="M225" s="113"/>
      <c r="N225" s="113"/>
      <c r="AA225" s="117"/>
      <c r="AB225" s="118"/>
    </row>
    <row r="226" ht="15.75" customHeight="1">
      <c r="M226" s="113"/>
      <c r="N226" s="113"/>
      <c r="AA226" s="117"/>
      <c r="AB226" s="118"/>
    </row>
    <row r="227" ht="15.75" customHeight="1">
      <c r="M227" s="113"/>
      <c r="N227" s="113"/>
      <c r="AA227" s="117"/>
      <c r="AB227" s="118"/>
    </row>
    <row r="228" ht="15.75" customHeight="1">
      <c r="M228" s="113"/>
      <c r="N228" s="113"/>
      <c r="AA228" s="117"/>
      <c r="AB228" s="118"/>
    </row>
    <row r="229" ht="15.75" customHeight="1">
      <c r="M229" s="113"/>
      <c r="N229" s="113"/>
      <c r="AA229" s="117"/>
      <c r="AB229" s="118"/>
    </row>
    <row r="230" ht="15.75" customHeight="1">
      <c r="M230" s="113"/>
      <c r="N230" s="113"/>
      <c r="AA230" s="117"/>
      <c r="AB230" s="118"/>
    </row>
    <row r="231" ht="15.75" customHeight="1">
      <c r="M231" s="113"/>
      <c r="N231" s="113"/>
      <c r="AA231" s="117"/>
      <c r="AB231" s="118"/>
    </row>
    <row r="232" ht="15.75" customHeight="1">
      <c r="M232" s="113"/>
      <c r="N232" s="113"/>
      <c r="AA232" s="117"/>
      <c r="AB232" s="118"/>
    </row>
    <row r="233" ht="15.75" customHeight="1">
      <c r="M233" s="113"/>
      <c r="N233" s="113"/>
      <c r="AA233" s="117"/>
      <c r="AB233" s="118"/>
    </row>
    <row r="234" ht="15.75" customHeight="1">
      <c r="M234" s="113"/>
      <c r="N234" s="113"/>
      <c r="AA234" s="117"/>
      <c r="AB234" s="118"/>
    </row>
    <row r="235" ht="15.75" customHeight="1">
      <c r="M235" s="113"/>
      <c r="N235" s="113"/>
      <c r="AA235" s="117"/>
      <c r="AB235" s="118"/>
    </row>
    <row r="236" ht="15.75" customHeight="1">
      <c r="M236" s="113"/>
      <c r="N236" s="113"/>
      <c r="AA236" s="117"/>
      <c r="AB236" s="118"/>
    </row>
    <row r="237" ht="15.75" customHeight="1">
      <c r="M237" s="113"/>
      <c r="N237" s="113"/>
      <c r="AA237" s="117"/>
      <c r="AB237" s="118"/>
    </row>
    <row r="238" ht="15.75" customHeight="1">
      <c r="M238" s="113"/>
      <c r="N238" s="113"/>
      <c r="AA238" s="117"/>
      <c r="AB238" s="118"/>
    </row>
    <row r="239" ht="15.75" customHeight="1">
      <c r="M239" s="113"/>
      <c r="N239" s="113"/>
      <c r="AA239" s="117"/>
      <c r="AB239" s="118"/>
    </row>
    <row r="240" ht="15.75" customHeight="1">
      <c r="M240" s="113"/>
      <c r="N240" s="113"/>
      <c r="AA240" s="117"/>
      <c r="AB240" s="118"/>
    </row>
    <row r="241" ht="15.75" customHeight="1">
      <c r="M241" s="113"/>
      <c r="N241" s="113"/>
      <c r="AA241" s="117"/>
      <c r="AB241" s="118"/>
    </row>
    <row r="242" ht="15.75" customHeight="1">
      <c r="M242" s="113"/>
      <c r="N242" s="113"/>
      <c r="AA242" s="117"/>
      <c r="AB242" s="118"/>
    </row>
    <row r="243" ht="15.75" customHeight="1">
      <c r="M243" s="113"/>
      <c r="N243" s="113"/>
      <c r="AA243" s="117"/>
      <c r="AB243" s="118"/>
    </row>
    <row r="244" ht="15.75" customHeight="1">
      <c r="M244" s="113"/>
      <c r="N244" s="113"/>
      <c r="AA244" s="117"/>
      <c r="AB244" s="118"/>
    </row>
    <row r="245" ht="15.75" customHeight="1">
      <c r="M245" s="113"/>
      <c r="N245" s="113"/>
      <c r="AA245" s="117"/>
      <c r="AB245" s="118"/>
    </row>
    <row r="246" ht="15.75" customHeight="1">
      <c r="M246" s="113"/>
      <c r="N246" s="113"/>
      <c r="AA246" s="117"/>
      <c r="AB246" s="118"/>
    </row>
    <row r="247" ht="15.75" customHeight="1">
      <c r="M247" s="113"/>
      <c r="N247" s="113"/>
      <c r="AA247" s="117"/>
      <c r="AB247" s="118"/>
    </row>
    <row r="248" ht="15.75" customHeight="1">
      <c r="M248" s="113"/>
      <c r="N248" s="113"/>
      <c r="AA248" s="117"/>
      <c r="AB248" s="118"/>
    </row>
    <row r="249" ht="15.75" customHeight="1">
      <c r="M249" s="113"/>
      <c r="N249" s="113"/>
      <c r="AA249" s="117"/>
      <c r="AB249" s="118"/>
    </row>
    <row r="250" ht="15.75" customHeight="1">
      <c r="M250" s="113"/>
      <c r="N250" s="113"/>
      <c r="AA250" s="117"/>
      <c r="AB250" s="118"/>
    </row>
    <row r="251" ht="15.75" customHeight="1">
      <c r="M251" s="113"/>
      <c r="N251" s="113"/>
      <c r="AA251" s="117"/>
      <c r="AB251" s="118"/>
    </row>
    <row r="252" ht="15.75" customHeight="1">
      <c r="M252" s="113"/>
      <c r="N252" s="113"/>
      <c r="AA252" s="117"/>
      <c r="AB252" s="118"/>
    </row>
    <row r="253" ht="15.75" customHeight="1">
      <c r="M253" s="113"/>
      <c r="N253" s="113"/>
      <c r="AA253" s="117"/>
      <c r="AB253" s="118"/>
    </row>
    <row r="254" ht="15.75" customHeight="1">
      <c r="M254" s="113"/>
      <c r="N254" s="113"/>
      <c r="AA254" s="117"/>
      <c r="AB254" s="118"/>
    </row>
    <row r="255" ht="15.75" customHeight="1">
      <c r="M255" s="113"/>
      <c r="N255" s="113"/>
      <c r="AA255" s="117"/>
      <c r="AB255" s="118"/>
    </row>
    <row r="256" ht="15.75" customHeight="1">
      <c r="M256" s="113"/>
      <c r="N256" s="113"/>
      <c r="AA256" s="117"/>
      <c r="AB256" s="118"/>
    </row>
    <row r="257" ht="15.75" customHeight="1">
      <c r="M257" s="113"/>
      <c r="N257" s="113"/>
      <c r="AA257" s="117"/>
      <c r="AB257" s="118"/>
    </row>
    <row r="258" ht="15.75" customHeight="1">
      <c r="M258" s="113"/>
      <c r="N258" s="113"/>
      <c r="AA258" s="117"/>
      <c r="AB258" s="118"/>
    </row>
    <row r="259" ht="15.75" customHeight="1">
      <c r="M259" s="113"/>
      <c r="N259" s="113"/>
      <c r="AA259" s="117"/>
      <c r="AB259" s="118"/>
    </row>
    <row r="260" ht="15.75" customHeight="1">
      <c r="M260" s="113"/>
      <c r="N260" s="113"/>
      <c r="AA260" s="117"/>
      <c r="AB260" s="118"/>
    </row>
    <row r="261" ht="15.75" customHeight="1">
      <c r="M261" s="113"/>
      <c r="N261" s="113"/>
      <c r="AA261" s="117"/>
      <c r="AB261" s="118"/>
    </row>
    <row r="262" ht="15.75" customHeight="1">
      <c r="M262" s="113"/>
      <c r="N262" s="113"/>
      <c r="AA262" s="117"/>
      <c r="AB262" s="118"/>
    </row>
    <row r="263" ht="15.75" customHeight="1">
      <c r="M263" s="113"/>
      <c r="N263" s="113"/>
      <c r="AA263" s="117"/>
      <c r="AB263" s="118"/>
    </row>
    <row r="264" ht="15.75" customHeight="1">
      <c r="M264" s="113"/>
      <c r="N264" s="113"/>
      <c r="AA264" s="117"/>
      <c r="AB264" s="118"/>
    </row>
    <row r="265" ht="15.75" customHeight="1">
      <c r="M265" s="113"/>
      <c r="N265" s="113"/>
      <c r="AA265" s="117"/>
      <c r="AB265" s="118"/>
    </row>
    <row r="266" ht="15.75" customHeight="1">
      <c r="M266" s="113"/>
      <c r="N266" s="113"/>
      <c r="AA266" s="117"/>
      <c r="AB266" s="118"/>
    </row>
    <row r="267" ht="15.75" customHeight="1">
      <c r="M267" s="113"/>
      <c r="N267" s="113"/>
      <c r="AA267" s="117"/>
      <c r="AB267" s="118"/>
    </row>
    <row r="268" ht="15.75" customHeight="1">
      <c r="M268" s="113"/>
      <c r="N268" s="113"/>
      <c r="AA268" s="117"/>
      <c r="AB268" s="118"/>
    </row>
    <row r="269" ht="15.75" customHeight="1">
      <c r="M269" s="113"/>
      <c r="N269" s="113"/>
      <c r="AA269" s="117"/>
      <c r="AB269" s="118"/>
    </row>
    <row r="270" ht="15.75" customHeight="1">
      <c r="M270" s="113"/>
      <c r="N270" s="113"/>
      <c r="AA270" s="117"/>
      <c r="AB270" s="118"/>
    </row>
    <row r="271" ht="15.75" customHeight="1">
      <c r="M271" s="113"/>
      <c r="N271" s="113"/>
      <c r="AA271" s="117"/>
      <c r="AB271" s="118"/>
    </row>
    <row r="272" ht="15.75" customHeight="1">
      <c r="M272" s="113"/>
      <c r="N272" s="113"/>
      <c r="AA272" s="117"/>
      <c r="AB272" s="118"/>
    </row>
    <row r="273" ht="15.75" customHeight="1">
      <c r="M273" s="113"/>
      <c r="N273" s="113"/>
      <c r="AA273" s="117"/>
      <c r="AB273" s="118"/>
    </row>
    <row r="274" ht="15.75" customHeight="1">
      <c r="M274" s="113"/>
      <c r="N274" s="113"/>
      <c r="AA274" s="117"/>
      <c r="AB274" s="118"/>
    </row>
    <row r="275" ht="15.75" customHeight="1">
      <c r="M275" s="113"/>
      <c r="N275" s="113"/>
      <c r="AA275" s="117"/>
      <c r="AB275" s="118"/>
    </row>
    <row r="276" ht="15.75" customHeight="1">
      <c r="M276" s="113"/>
      <c r="N276" s="113"/>
      <c r="AA276" s="117"/>
      <c r="AB276" s="118"/>
    </row>
    <row r="277" ht="15.75" customHeight="1">
      <c r="M277" s="113"/>
      <c r="N277" s="113"/>
      <c r="AA277" s="117"/>
      <c r="AB277" s="118"/>
    </row>
    <row r="278" ht="15.75" customHeight="1">
      <c r="M278" s="113"/>
      <c r="N278" s="113"/>
      <c r="AA278" s="117"/>
      <c r="AB278" s="118"/>
    </row>
    <row r="279" ht="15.75" customHeight="1">
      <c r="M279" s="113"/>
      <c r="N279" s="113"/>
      <c r="AA279" s="117"/>
      <c r="AB279" s="118"/>
    </row>
    <row r="280" ht="15.75" customHeight="1">
      <c r="M280" s="113"/>
      <c r="N280" s="113"/>
      <c r="AA280" s="117"/>
      <c r="AB280" s="118"/>
    </row>
    <row r="281" ht="15.75" customHeight="1">
      <c r="M281" s="113"/>
      <c r="N281" s="113"/>
      <c r="AA281" s="117"/>
      <c r="AB281" s="118"/>
    </row>
    <row r="282" ht="15.75" customHeight="1">
      <c r="M282" s="113"/>
      <c r="N282" s="113"/>
      <c r="AA282" s="117"/>
      <c r="AB282" s="118"/>
    </row>
    <row r="283" ht="15.75" customHeight="1">
      <c r="M283" s="113"/>
      <c r="N283" s="113"/>
      <c r="AA283" s="117"/>
      <c r="AB283" s="118"/>
    </row>
    <row r="284" ht="15.75" customHeight="1">
      <c r="M284" s="113"/>
      <c r="N284" s="113"/>
      <c r="AA284" s="117"/>
      <c r="AB284" s="118"/>
    </row>
    <row r="285" ht="15.75" customHeight="1">
      <c r="M285" s="113"/>
      <c r="N285" s="113"/>
      <c r="AA285" s="117"/>
      <c r="AB285" s="118"/>
    </row>
    <row r="286" ht="15.75" customHeight="1">
      <c r="M286" s="113"/>
      <c r="N286" s="113"/>
      <c r="AA286" s="117"/>
      <c r="AB286" s="118"/>
    </row>
    <row r="287" ht="15.75" customHeight="1">
      <c r="M287" s="113"/>
      <c r="N287" s="113"/>
      <c r="AA287" s="117"/>
      <c r="AB287" s="118"/>
    </row>
    <row r="288" ht="15.75" customHeight="1">
      <c r="M288" s="113"/>
      <c r="N288" s="113"/>
      <c r="AA288" s="117"/>
      <c r="AB288" s="118"/>
    </row>
    <row r="289" ht="15.75" customHeight="1">
      <c r="M289" s="113"/>
      <c r="N289" s="113"/>
      <c r="AA289" s="117"/>
      <c r="AB289" s="118"/>
    </row>
    <row r="290" ht="15.75" customHeight="1">
      <c r="M290" s="113"/>
      <c r="N290" s="113"/>
      <c r="AA290" s="117"/>
      <c r="AB290" s="118"/>
    </row>
    <row r="291" ht="15.75" customHeight="1">
      <c r="M291" s="113"/>
      <c r="N291" s="113"/>
      <c r="AA291" s="117"/>
      <c r="AB291" s="118"/>
    </row>
    <row r="292" ht="15.75" customHeight="1">
      <c r="M292" s="113"/>
      <c r="N292" s="113"/>
      <c r="AA292" s="117"/>
      <c r="AB292" s="118"/>
    </row>
    <row r="293" ht="15.75" customHeight="1">
      <c r="M293" s="113"/>
      <c r="N293" s="113"/>
      <c r="AA293" s="117"/>
      <c r="AB293" s="118"/>
    </row>
    <row r="294" ht="15.75" customHeight="1">
      <c r="M294" s="113"/>
      <c r="N294" s="113"/>
      <c r="AA294" s="117"/>
      <c r="AB294" s="118"/>
    </row>
    <row r="295" ht="15.75" customHeight="1">
      <c r="M295" s="113"/>
      <c r="N295" s="113"/>
      <c r="AA295" s="117"/>
      <c r="AB295" s="118"/>
    </row>
    <row r="296" ht="15.75" customHeight="1">
      <c r="M296" s="113"/>
      <c r="N296" s="113"/>
      <c r="AA296" s="117"/>
      <c r="AB296" s="118"/>
    </row>
    <row r="297" ht="15.75" customHeight="1">
      <c r="M297" s="113"/>
      <c r="N297" s="113"/>
      <c r="AA297" s="117"/>
      <c r="AB297" s="118"/>
    </row>
    <row r="298" ht="15.75" customHeight="1">
      <c r="M298" s="113"/>
      <c r="N298" s="113"/>
      <c r="AA298" s="117"/>
      <c r="AB298" s="118"/>
    </row>
    <row r="299" ht="15.75" customHeight="1">
      <c r="M299" s="113"/>
      <c r="N299" s="113"/>
      <c r="AA299" s="117"/>
      <c r="AB299" s="118"/>
    </row>
    <row r="300" ht="15.75" customHeight="1">
      <c r="M300" s="113"/>
      <c r="N300" s="113"/>
      <c r="AA300" s="117"/>
      <c r="AB300" s="118"/>
    </row>
    <row r="301" ht="15.75" customHeight="1">
      <c r="M301" s="113"/>
      <c r="N301" s="113"/>
      <c r="AA301" s="117"/>
      <c r="AB301" s="118"/>
    </row>
    <row r="302" ht="15.75" customHeight="1">
      <c r="M302" s="113"/>
      <c r="N302" s="113"/>
      <c r="AA302" s="117"/>
      <c r="AB302" s="118"/>
    </row>
    <row r="303" ht="15.75" customHeight="1">
      <c r="M303" s="113"/>
      <c r="N303" s="113"/>
      <c r="AA303" s="117"/>
      <c r="AB303" s="118"/>
    </row>
    <row r="304" ht="15.75" customHeight="1">
      <c r="M304" s="113"/>
      <c r="N304" s="113"/>
      <c r="AA304" s="117"/>
      <c r="AB304" s="118"/>
    </row>
    <row r="305" ht="15.75" customHeight="1">
      <c r="M305" s="113"/>
      <c r="N305" s="113"/>
      <c r="AA305" s="117"/>
      <c r="AB305" s="118"/>
    </row>
    <row r="306" ht="15.75" customHeight="1">
      <c r="M306" s="113"/>
      <c r="N306" s="113"/>
      <c r="AA306" s="117"/>
      <c r="AB306" s="118"/>
    </row>
    <row r="307" ht="15.75" customHeight="1">
      <c r="M307" s="113"/>
      <c r="N307" s="113"/>
      <c r="AA307" s="117"/>
      <c r="AB307" s="118"/>
    </row>
    <row r="308" ht="15.75" customHeight="1">
      <c r="M308" s="113"/>
      <c r="N308" s="113"/>
      <c r="AA308" s="117"/>
      <c r="AB308" s="118"/>
    </row>
    <row r="309" ht="15.75" customHeight="1">
      <c r="M309" s="113"/>
      <c r="N309" s="113"/>
      <c r="AA309" s="117"/>
      <c r="AB309" s="118"/>
    </row>
    <row r="310" ht="15.75" customHeight="1">
      <c r="M310" s="113"/>
      <c r="N310" s="113"/>
      <c r="AA310" s="117"/>
      <c r="AB310" s="118"/>
    </row>
    <row r="311" ht="15.75" customHeight="1">
      <c r="M311" s="113"/>
      <c r="N311" s="113"/>
      <c r="AA311" s="117"/>
      <c r="AB311" s="118"/>
    </row>
    <row r="312" ht="15.75" customHeight="1">
      <c r="M312" s="113"/>
      <c r="N312" s="113"/>
      <c r="AA312" s="117"/>
      <c r="AB312" s="118"/>
    </row>
    <row r="313" ht="15.75" customHeight="1">
      <c r="M313" s="113"/>
      <c r="N313" s="113"/>
      <c r="AA313" s="117"/>
      <c r="AB313" s="118"/>
    </row>
    <row r="314" ht="15.75" customHeight="1">
      <c r="M314" s="113"/>
      <c r="N314" s="113"/>
      <c r="AA314" s="117"/>
      <c r="AB314" s="118"/>
    </row>
    <row r="315" ht="15.75" customHeight="1">
      <c r="M315" s="113"/>
      <c r="N315" s="113"/>
      <c r="AA315" s="117"/>
      <c r="AB315" s="118"/>
    </row>
    <row r="316" ht="15.75" customHeight="1">
      <c r="M316" s="113"/>
      <c r="N316" s="113"/>
      <c r="AA316" s="117"/>
      <c r="AB316" s="118"/>
    </row>
    <row r="317" ht="15.75" customHeight="1">
      <c r="M317" s="113"/>
      <c r="N317" s="113"/>
      <c r="AA317" s="117"/>
      <c r="AB317" s="118"/>
    </row>
    <row r="318" ht="15.75" customHeight="1">
      <c r="M318" s="113"/>
      <c r="N318" s="113"/>
      <c r="AA318" s="117"/>
      <c r="AB318" s="118"/>
    </row>
    <row r="319" ht="15.75" customHeight="1">
      <c r="M319" s="113"/>
      <c r="N319" s="113"/>
      <c r="AA319" s="117"/>
      <c r="AB319" s="118"/>
    </row>
    <row r="320" ht="15.75" customHeight="1">
      <c r="M320" s="113"/>
      <c r="N320" s="113"/>
      <c r="AA320" s="117"/>
      <c r="AB320" s="118"/>
    </row>
    <row r="321" ht="15.75" customHeight="1">
      <c r="M321" s="113"/>
      <c r="N321" s="113"/>
      <c r="AA321" s="117"/>
      <c r="AB321" s="118"/>
    </row>
    <row r="322" ht="15.75" customHeight="1">
      <c r="M322" s="113"/>
      <c r="N322" s="113"/>
      <c r="AA322" s="117"/>
      <c r="AB322" s="118"/>
    </row>
    <row r="323" ht="15.75" customHeight="1">
      <c r="M323" s="113"/>
      <c r="N323" s="113"/>
      <c r="AA323" s="117"/>
      <c r="AB323" s="118"/>
    </row>
    <row r="324" ht="15.75" customHeight="1">
      <c r="M324" s="113"/>
      <c r="N324" s="113"/>
      <c r="AA324" s="117"/>
      <c r="AB324" s="118"/>
    </row>
    <row r="325" ht="15.75" customHeight="1">
      <c r="M325" s="113"/>
      <c r="N325" s="113"/>
      <c r="AA325" s="117"/>
      <c r="AB325" s="118"/>
    </row>
    <row r="326" ht="15.75" customHeight="1">
      <c r="M326" s="113"/>
      <c r="N326" s="113"/>
      <c r="AA326" s="117"/>
      <c r="AB326" s="118"/>
    </row>
    <row r="327" ht="15.75" customHeight="1">
      <c r="M327" s="113"/>
      <c r="N327" s="113"/>
      <c r="AA327" s="117"/>
      <c r="AB327" s="118"/>
    </row>
    <row r="328" ht="15.75" customHeight="1">
      <c r="M328" s="113"/>
      <c r="N328" s="113"/>
      <c r="AA328" s="117"/>
      <c r="AB328" s="118"/>
    </row>
    <row r="329" ht="15.75" customHeight="1">
      <c r="M329" s="113"/>
      <c r="N329" s="113"/>
      <c r="AA329" s="117"/>
      <c r="AB329" s="118"/>
    </row>
    <row r="330" ht="15.75" customHeight="1">
      <c r="M330" s="113"/>
      <c r="N330" s="113"/>
      <c r="AA330" s="117"/>
      <c r="AB330" s="118"/>
    </row>
    <row r="331" ht="15.75" customHeight="1">
      <c r="M331" s="113"/>
      <c r="N331" s="113"/>
      <c r="AA331" s="117"/>
      <c r="AB331" s="118"/>
    </row>
    <row r="332" ht="15.75" customHeight="1">
      <c r="M332" s="113"/>
      <c r="N332" s="113"/>
      <c r="AA332" s="117"/>
      <c r="AB332" s="118"/>
    </row>
    <row r="333" ht="15.75" customHeight="1">
      <c r="M333" s="113"/>
      <c r="N333" s="113"/>
      <c r="AA333" s="117"/>
      <c r="AB333" s="118"/>
    </row>
    <row r="334" ht="15.75" customHeight="1">
      <c r="M334" s="113"/>
      <c r="N334" s="113"/>
      <c r="AA334" s="117"/>
      <c r="AB334" s="118"/>
    </row>
    <row r="335" ht="15.75" customHeight="1">
      <c r="M335" s="113"/>
      <c r="N335" s="113"/>
      <c r="AA335" s="117"/>
      <c r="AB335" s="118"/>
    </row>
    <row r="336" ht="15.75" customHeight="1">
      <c r="M336" s="113"/>
      <c r="N336" s="113"/>
      <c r="AA336" s="117"/>
      <c r="AB336" s="118"/>
    </row>
    <row r="337" ht="15.75" customHeight="1">
      <c r="M337" s="113"/>
      <c r="N337" s="113"/>
      <c r="AA337" s="117"/>
      <c r="AB337" s="118"/>
    </row>
    <row r="338" ht="15.75" customHeight="1">
      <c r="M338" s="113"/>
      <c r="N338" s="113"/>
      <c r="AA338" s="117"/>
      <c r="AB338" s="118"/>
    </row>
    <row r="339" ht="15.75" customHeight="1">
      <c r="M339" s="113"/>
      <c r="N339" s="113"/>
      <c r="AA339" s="117"/>
      <c r="AB339" s="118"/>
    </row>
    <row r="340" ht="15.75" customHeight="1">
      <c r="M340" s="113"/>
      <c r="N340" s="113"/>
      <c r="AA340" s="117"/>
      <c r="AB340" s="118"/>
    </row>
    <row r="341" ht="15.75" customHeight="1">
      <c r="M341" s="113"/>
      <c r="N341" s="113"/>
      <c r="AA341" s="117"/>
      <c r="AB341" s="118"/>
    </row>
    <row r="342" ht="15.75" customHeight="1">
      <c r="M342" s="113"/>
      <c r="N342" s="113"/>
      <c r="AA342" s="117"/>
      <c r="AB342" s="118"/>
    </row>
    <row r="343" ht="15.75" customHeight="1">
      <c r="M343" s="113"/>
      <c r="N343" s="113"/>
      <c r="AA343" s="117"/>
      <c r="AB343" s="118"/>
    </row>
    <row r="344" ht="15.75" customHeight="1">
      <c r="M344" s="113"/>
      <c r="N344" s="113"/>
      <c r="AA344" s="117"/>
      <c r="AB344" s="118"/>
    </row>
    <row r="345" ht="15.75" customHeight="1">
      <c r="M345" s="113"/>
      <c r="N345" s="113"/>
      <c r="AA345" s="117"/>
      <c r="AB345" s="118"/>
    </row>
    <row r="346" ht="15.75" customHeight="1">
      <c r="M346" s="113"/>
      <c r="N346" s="113"/>
      <c r="AA346" s="117"/>
      <c r="AB346" s="118"/>
    </row>
    <row r="347" ht="15.75" customHeight="1">
      <c r="M347" s="113"/>
      <c r="N347" s="113"/>
      <c r="AA347" s="117"/>
      <c r="AB347" s="118"/>
    </row>
    <row r="348" ht="15.75" customHeight="1">
      <c r="M348" s="113"/>
      <c r="N348" s="113"/>
      <c r="AA348" s="117"/>
      <c r="AB348" s="118"/>
    </row>
    <row r="349" ht="15.75" customHeight="1">
      <c r="M349" s="113"/>
      <c r="N349" s="113"/>
      <c r="AA349" s="117"/>
      <c r="AB349" s="118"/>
    </row>
    <row r="350" ht="15.75" customHeight="1">
      <c r="M350" s="113"/>
      <c r="N350" s="113"/>
      <c r="AA350" s="117"/>
      <c r="AB350" s="118"/>
    </row>
    <row r="351" ht="15.75" customHeight="1">
      <c r="M351" s="113"/>
      <c r="N351" s="113"/>
      <c r="AA351" s="117"/>
      <c r="AB351" s="118"/>
    </row>
    <row r="352" ht="15.75" customHeight="1">
      <c r="M352" s="113"/>
      <c r="N352" s="113"/>
      <c r="AA352" s="117"/>
      <c r="AB352" s="118"/>
    </row>
    <row r="353" ht="15.75" customHeight="1">
      <c r="M353" s="113"/>
      <c r="N353" s="113"/>
      <c r="AA353" s="117"/>
      <c r="AB353" s="118"/>
    </row>
    <row r="354" ht="15.75" customHeight="1">
      <c r="M354" s="113"/>
      <c r="N354" s="113"/>
      <c r="AA354" s="117"/>
      <c r="AB354" s="118"/>
    </row>
    <row r="355" ht="15.75" customHeight="1">
      <c r="M355" s="113"/>
      <c r="N355" s="113"/>
      <c r="AA355" s="117"/>
      <c r="AB355" s="118"/>
    </row>
    <row r="356" ht="15.75" customHeight="1">
      <c r="M356" s="113"/>
      <c r="N356" s="113"/>
      <c r="AA356" s="117"/>
      <c r="AB356" s="118"/>
    </row>
    <row r="357" ht="15.75" customHeight="1">
      <c r="M357" s="113"/>
      <c r="N357" s="113"/>
      <c r="AA357" s="117"/>
      <c r="AB357" s="118"/>
    </row>
    <row r="358" ht="15.75" customHeight="1">
      <c r="M358" s="113"/>
      <c r="N358" s="113"/>
      <c r="AA358" s="117"/>
      <c r="AB358" s="118"/>
    </row>
    <row r="359" ht="15.75" customHeight="1">
      <c r="M359" s="113"/>
      <c r="N359" s="113"/>
      <c r="AA359" s="117"/>
      <c r="AB359" s="118"/>
    </row>
    <row r="360" ht="15.75" customHeight="1">
      <c r="M360" s="113"/>
      <c r="N360" s="113"/>
      <c r="AA360" s="117"/>
      <c r="AB360" s="118"/>
    </row>
    <row r="361" ht="15.75" customHeight="1">
      <c r="M361" s="113"/>
      <c r="N361" s="113"/>
      <c r="AA361" s="117"/>
      <c r="AB361" s="118"/>
    </row>
    <row r="362" ht="15.75" customHeight="1">
      <c r="M362" s="113"/>
      <c r="N362" s="113"/>
      <c r="AA362" s="117"/>
      <c r="AB362" s="118"/>
    </row>
    <row r="363" ht="15.75" customHeight="1">
      <c r="M363" s="113"/>
      <c r="N363" s="113"/>
      <c r="AA363" s="117"/>
      <c r="AB363" s="118"/>
    </row>
    <row r="364" ht="15.75" customHeight="1">
      <c r="M364" s="113"/>
      <c r="N364" s="113"/>
      <c r="AA364" s="117"/>
      <c r="AB364" s="118"/>
    </row>
    <row r="365" ht="15.75" customHeight="1">
      <c r="M365" s="113"/>
      <c r="N365" s="113"/>
      <c r="AA365" s="117"/>
      <c r="AB365" s="118"/>
    </row>
    <row r="366" ht="15.75" customHeight="1">
      <c r="M366" s="113"/>
      <c r="N366" s="113"/>
      <c r="AA366" s="117"/>
      <c r="AB366" s="118"/>
    </row>
    <row r="367" ht="15.75" customHeight="1">
      <c r="M367" s="113"/>
      <c r="N367" s="113"/>
      <c r="AA367" s="117"/>
      <c r="AB367" s="118"/>
    </row>
    <row r="368" ht="15.75" customHeight="1">
      <c r="M368" s="113"/>
      <c r="N368" s="113"/>
      <c r="AA368" s="117"/>
      <c r="AB368" s="118"/>
    </row>
    <row r="369" ht="15.75" customHeight="1">
      <c r="M369" s="113"/>
      <c r="N369" s="113"/>
      <c r="AA369" s="117"/>
      <c r="AB369" s="118"/>
    </row>
    <row r="370" ht="15.75" customHeight="1">
      <c r="M370" s="113"/>
      <c r="N370" s="113"/>
      <c r="AA370" s="117"/>
      <c r="AB370" s="118"/>
    </row>
    <row r="371" ht="15.75" customHeight="1">
      <c r="M371" s="113"/>
      <c r="N371" s="113"/>
      <c r="AA371" s="117"/>
      <c r="AB371" s="118"/>
    </row>
    <row r="372" ht="15.75" customHeight="1">
      <c r="M372" s="113"/>
      <c r="N372" s="113"/>
      <c r="AA372" s="117"/>
      <c r="AB372" s="118"/>
    </row>
    <row r="373" ht="15.75" customHeight="1">
      <c r="M373" s="113"/>
      <c r="N373" s="113"/>
      <c r="AA373" s="117"/>
      <c r="AB373" s="118"/>
    </row>
    <row r="374" ht="15.75" customHeight="1">
      <c r="M374" s="113"/>
      <c r="N374" s="113"/>
      <c r="AA374" s="117"/>
      <c r="AB374" s="118"/>
    </row>
    <row r="375" ht="15.75" customHeight="1">
      <c r="M375" s="113"/>
      <c r="N375" s="113"/>
      <c r="AA375" s="117"/>
      <c r="AB375" s="118"/>
    </row>
    <row r="376" ht="15.75" customHeight="1">
      <c r="M376" s="113"/>
      <c r="N376" s="113"/>
      <c r="AA376" s="117"/>
      <c r="AB376" s="118"/>
    </row>
    <row r="377" ht="15.75" customHeight="1">
      <c r="M377" s="113"/>
      <c r="N377" s="113"/>
      <c r="AA377" s="117"/>
      <c r="AB377" s="118"/>
    </row>
    <row r="378" ht="15.75" customHeight="1">
      <c r="M378" s="113"/>
      <c r="N378" s="113"/>
      <c r="AA378" s="117"/>
      <c r="AB378" s="118"/>
    </row>
    <row r="379" ht="15.75" customHeight="1">
      <c r="M379" s="113"/>
      <c r="N379" s="113"/>
      <c r="AA379" s="117"/>
      <c r="AB379" s="118"/>
    </row>
    <row r="380" ht="15.75" customHeight="1">
      <c r="M380" s="113"/>
      <c r="N380" s="113"/>
      <c r="AA380" s="117"/>
      <c r="AB380" s="118"/>
    </row>
    <row r="381" ht="15.75" customHeight="1">
      <c r="M381" s="113"/>
      <c r="N381" s="113"/>
      <c r="AA381" s="117"/>
      <c r="AB381" s="118"/>
    </row>
    <row r="382" ht="15.75" customHeight="1">
      <c r="M382" s="113"/>
      <c r="N382" s="113"/>
      <c r="AA382" s="117"/>
      <c r="AB382" s="118"/>
    </row>
    <row r="383" ht="15.75" customHeight="1">
      <c r="M383" s="113"/>
      <c r="N383" s="113"/>
      <c r="AA383" s="117"/>
      <c r="AB383" s="118"/>
    </row>
    <row r="384" ht="15.75" customHeight="1">
      <c r="M384" s="113"/>
      <c r="N384" s="113"/>
      <c r="AA384" s="117"/>
      <c r="AB384" s="118"/>
    </row>
    <row r="385" ht="15.75" customHeight="1">
      <c r="M385" s="113"/>
      <c r="N385" s="113"/>
      <c r="AA385" s="117"/>
      <c r="AB385" s="118"/>
    </row>
    <row r="386" ht="15.75" customHeight="1">
      <c r="M386" s="113"/>
      <c r="N386" s="113"/>
      <c r="AA386" s="117"/>
      <c r="AB386" s="118"/>
    </row>
    <row r="387" ht="15.75" customHeight="1">
      <c r="M387" s="113"/>
      <c r="N387" s="113"/>
      <c r="AA387" s="117"/>
      <c r="AB387" s="118"/>
    </row>
    <row r="388" ht="15.75" customHeight="1">
      <c r="M388" s="113"/>
      <c r="N388" s="113"/>
      <c r="AA388" s="117"/>
      <c r="AB388" s="118"/>
    </row>
    <row r="389" ht="15.75" customHeight="1">
      <c r="M389" s="113"/>
      <c r="N389" s="113"/>
      <c r="AA389" s="117"/>
      <c r="AB389" s="118"/>
    </row>
    <row r="390" ht="15.75" customHeight="1">
      <c r="M390" s="113"/>
      <c r="N390" s="113"/>
      <c r="AA390" s="117"/>
      <c r="AB390" s="118"/>
    </row>
    <row r="391" ht="15.75" customHeight="1">
      <c r="M391" s="113"/>
      <c r="N391" s="113"/>
      <c r="AA391" s="117"/>
      <c r="AB391" s="118"/>
    </row>
    <row r="392" ht="15.75" customHeight="1">
      <c r="M392" s="113"/>
      <c r="N392" s="113"/>
      <c r="AA392" s="117"/>
      <c r="AB392" s="118"/>
    </row>
    <row r="393" ht="15.75" customHeight="1">
      <c r="M393" s="113"/>
      <c r="N393" s="113"/>
      <c r="AA393" s="117"/>
      <c r="AB393" s="118"/>
    </row>
    <row r="394" ht="15.75" customHeight="1">
      <c r="M394" s="113"/>
      <c r="N394" s="113"/>
      <c r="AA394" s="117"/>
      <c r="AB394" s="118"/>
    </row>
    <row r="395" ht="15.75" customHeight="1">
      <c r="M395" s="113"/>
      <c r="N395" s="113"/>
      <c r="AA395" s="117"/>
      <c r="AB395" s="118"/>
    </row>
    <row r="396" ht="15.75" customHeight="1">
      <c r="M396" s="113"/>
      <c r="N396" s="113"/>
      <c r="AA396" s="117"/>
      <c r="AB396" s="118"/>
    </row>
    <row r="397" ht="15.75" customHeight="1">
      <c r="M397" s="113"/>
      <c r="N397" s="113"/>
      <c r="AA397" s="117"/>
      <c r="AB397" s="118"/>
    </row>
    <row r="398" ht="15.75" customHeight="1">
      <c r="M398" s="113"/>
      <c r="N398" s="113"/>
      <c r="AA398" s="117"/>
      <c r="AB398" s="118"/>
    </row>
    <row r="399" ht="15.75" customHeight="1">
      <c r="M399" s="113"/>
      <c r="N399" s="113"/>
      <c r="AA399" s="117"/>
      <c r="AB399" s="118"/>
    </row>
    <row r="400" ht="15.75" customHeight="1">
      <c r="M400" s="113"/>
      <c r="N400" s="113"/>
      <c r="AA400" s="117"/>
      <c r="AB400" s="118"/>
    </row>
    <row r="401" ht="15.75" customHeight="1">
      <c r="M401" s="113"/>
      <c r="N401" s="113"/>
      <c r="AA401" s="117"/>
      <c r="AB401" s="118"/>
    </row>
    <row r="402" ht="15.75" customHeight="1">
      <c r="M402" s="113"/>
      <c r="N402" s="113"/>
      <c r="AA402" s="117"/>
      <c r="AB402" s="118"/>
    </row>
    <row r="403" ht="15.75" customHeight="1">
      <c r="M403" s="113"/>
      <c r="N403" s="113"/>
      <c r="AA403" s="117"/>
      <c r="AB403" s="118"/>
    </row>
    <row r="404" ht="15.75" customHeight="1">
      <c r="M404" s="113"/>
      <c r="N404" s="113"/>
      <c r="AA404" s="117"/>
      <c r="AB404" s="118"/>
    </row>
    <row r="405" ht="15.75" customHeight="1">
      <c r="M405" s="113"/>
      <c r="N405" s="113"/>
      <c r="AA405" s="117"/>
      <c r="AB405" s="118"/>
    </row>
    <row r="406" ht="15.75" customHeight="1">
      <c r="M406" s="113"/>
      <c r="N406" s="113"/>
      <c r="AA406" s="117"/>
      <c r="AB406" s="118"/>
    </row>
    <row r="407" ht="15.75" customHeight="1">
      <c r="M407" s="113"/>
      <c r="N407" s="113"/>
      <c r="AA407" s="117"/>
      <c r="AB407" s="118"/>
    </row>
    <row r="408" ht="15.75" customHeight="1">
      <c r="M408" s="113"/>
      <c r="N408" s="113"/>
      <c r="AA408" s="117"/>
      <c r="AB408" s="118"/>
    </row>
    <row r="409" ht="15.75" customHeight="1">
      <c r="M409" s="113"/>
      <c r="N409" s="113"/>
      <c r="AA409" s="117"/>
      <c r="AB409" s="118"/>
    </row>
    <row r="410" ht="15.75" customHeight="1">
      <c r="M410" s="113"/>
      <c r="N410" s="113"/>
      <c r="AA410" s="117"/>
      <c r="AB410" s="118"/>
    </row>
    <row r="411" ht="15.75" customHeight="1">
      <c r="M411" s="113"/>
      <c r="N411" s="113"/>
      <c r="AA411" s="117"/>
      <c r="AB411" s="118"/>
    </row>
    <row r="412" ht="15.75" customHeight="1">
      <c r="M412" s="113"/>
      <c r="N412" s="113"/>
      <c r="AA412" s="117"/>
      <c r="AB412" s="118"/>
    </row>
    <row r="413" ht="15.75" customHeight="1">
      <c r="M413" s="113"/>
      <c r="N413" s="113"/>
      <c r="AA413" s="117"/>
      <c r="AB413" s="118"/>
    </row>
    <row r="414" ht="15.75" customHeight="1">
      <c r="M414" s="113"/>
      <c r="N414" s="113"/>
      <c r="AA414" s="117"/>
      <c r="AB414" s="118"/>
    </row>
    <row r="415" ht="15.75" customHeight="1">
      <c r="M415" s="113"/>
      <c r="N415" s="113"/>
      <c r="AA415" s="117"/>
      <c r="AB415" s="118"/>
    </row>
    <row r="416" ht="15.75" customHeight="1">
      <c r="M416" s="113"/>
      <c r="N416" s="113"/>
      <c r="AA416" s="117"/>
      <c r="AB416" s="118"/>
    </row>
    <row r="417" ht="15.75" customHeight="1">
      <c r="M417" s="113"/>
      <c r="N417" s="113"/>
      <c r="AA417" s="117"/>
      <c r="AB417" s="118"/>
    </row>
    <row r="418" ht="15.75" customHeight="1">
      <c r="M418" s="113"/>
      <c r="N418" s="113"/>
      <c r="AA418" s="117"/>
      <c r="AB418" s="118"/>
    </row>
    <row r="419" ht="15.75" customHeight="1">
      <c r="M419" s="113"/>
      <c r="N419" s="113"/>
      <c r="AA419" s="117"/>
      <c r="AB419" s="118"/>
    </row>
    <row r="420" ht="15.75" customHeight="1">
      <c r="M420" s="113"/>
      <c r="N420" s="113"/>
      <c r="AA420" s="117"/>
      <c r="AB420" s="118"/>
    </row>
    <row r="421" ht="15.75" customHeight="1">
      <c r="M421" s="113"/>
      <c r="N421" s="113"/>
      <c r="AA421" s="117"/>
      <c r="AB421" s="118"/>
    </row>
    <row r="422" ht="15.75" customHeight="1">
      <c r="M422" s="113"/>
      <c r="N422" s="113"/>
      <c r="AA422" s="117"/>
      <c r="AB422" s="118"/>
    </row>
    <row r="423" ht="15.75" customHeight="1">
      <c r="M423" s="113"/>
      <c r="N423" s="113"/>
      <c r="AA423" s="117"/>
      <c r="AB423" s="118"/>
    </row>
    <row r="424" ht="15.75" customHeight="1">
      <c r="M424" s="113"/>
      <c r="N424" s="113"/>
      <c r="AA424" s="117"/>
      <c r="AB424" s="118"/>
    </row>
    <row r="425" ht="15.75" customHeight="1">
      <c r="M425" s="113"/>
      <c r="N425" s="113"/>
      <c r="AA425" s="117"/>
      <c r="AB425" s="118"/>
    </row>
    <row r="426" ht="15.75" customHeight="1">
      <c r="M426" s="113"/>
      <c r="N426" s="113"/>
      <c r="AA426" s="117"/>
      <c r="AB426" s="118"/>
    </row>
    <row r="427" ht="15.75" customHeight="1">
      <c r="M427" s="113"/>
      <c r="N427" s="113"/>
      <c r="AA427" s="117"/>
      <c r="AB427" s="118"/>
    </row>
    <row r="428" ht="15.75" customHeight="1">
      <c r="M428" s="113"/>
      <c r="N428" s="113"/>
      <c r="AA428" s="117"/>
      <c r="AB428" s="118"/>
    </row>
    <row r="429" ht="15.75" customHeight="1">
      <c r="M429" s="113"/>
      <c r="N429" s="113"/>
      <c r="AA429" s="117"/>
      <c r="AB429" s="118"/>
    </row>
    <row r="430" ht="15.75" customHeight="1">
      <c r="M430" s="113"/>
      <c r="N430" s="113"/>
      <c r="AA430" s="117"/>
      <c r="AB430" s="118"/>
    </row>
    <row r="431" ht="15.75" customHeight="1">
      <c r="M431" s="113"/>
      <c r="N431" s="113"/>
      <c r="AA431" s="117"/>
      <c r="AB431" s="118"/>
    </row>
    <row r="432" ht="15.75" customHeight="1">
      <c r="M432" s="113"/>
      <c r="N432" s="113"/>
      <c r="AA432" s="117"/>
      <c r="AB432" s="118"/>
    </row>
    <row r="433" ht="15.75" customHeight="1">
      <c r="M433" s="113"/>
      <c r="N433" s="113"/>
      <c r="AA433" s="117"/>
      <c r="AB433" s="118"/>
    </row>
    <row r="434" ht="15.75" customHeight="1">
      <c r="M434" s="113"/>
      <c r="N434" s="113"/>
      <c r="AA434" s="117"/>
      <c r="AB434" s="118"/>
    </row>
    <row r="435" ht="15.75" customHeight="1">
      <c r="M435" s="113"/>
      <c r="N435" s="113"/>
      <c r="AA435" s="117"/>
      <c r="AB435" s="118"/>
    </row>
    <row r="436" ht="15.75" customHeight="1">
      <c r="M436" s="113"/>
      <c r="N436" s="113"/>
      <c r="AA436" s="117"/>
      <c r="AB436" s="118"/>
    </row>
    <row r="437" ht="15.75" customHeight="1">
      <c r="M437" s="113"/>
      <c r="N437" s="113"/>
      <c r="AA437" s="117"/>
      <c r="AB437" s="118"/>
    </row>
    <row r="438" ht="15.75" customHeight="1">
      <c r="M438" s="113"/>
      <c r="N438" s="113"/>
      <c r="AA438" s="117"/>
      <c r="AB438" s="118"/>
    </row>
    <row r="439" ht="15.75" customHeight="1">
      <c r="M439" s="113"/>
      <c r="N439" s="113"/>
      <c r="AA439" s="117"/>
      <c r="AB439" s="118"/>
    </row>
    <row r="440" ht="15.75" customHeight="1">
      <c r="M440" s="113"/>
      <c r="N440" s="113"/>
      <c r="AA440" s="117"/>
      <c r="AB440" s="118"/>
    </row>
    <row r="441" ht="15.75" customHeight="1">
      <c r="M441" s="113"/>
      <c r="N441" s="113"/>
      <c r="AA441" s="117"/>
      <c r="AB441" s="118"/>
    </row>
    <row r="442" ht="15.75" customHeight="1">
      <c r="M442" s="113"/>
      <c r="N442" s="113"/>
      <c r="AA442" s="117"/>
      <c r="AB442" s="118"/>
    </row>
    <row r="443" ht="15.75" customHeight="1">
      <c r="M443" s="113"/>
      <c r="N443" s="113"/>
      <c r="AA443" s="117"/>
      <c r="AB443" s="118"/>
    </row>
    <row r="444" ht="15.75" customHeight="1">
      <c r="M444" s="113"/>
      <c r="N444" s="113"/>
      <c r="AA444" s="117"/>
      <c r="AB444" s="118"/>
    </row>
    <row r="445" ht="15.75" customHeight="1">
      <c r="M445" s="113"/>
      <c r="N445" s="113"/>
      <c r="AA445" s="117"/>
      <c r="AB445" s="118"/>
    </row>
    <row r="446" ht="15.75" customHeight="1">
      <c r="M446" s="113"/>
      <c r="N446" s="113"/>
      <c r="AA446" s="117"/>
      <c r="AB446" s="118"/>
    </row>
    <row r="447" ht="15.75" customHeight="1">
      <c r="M447" s="113"/>
      <c r="N447" s="113"/>
      <c r="AA447" s="117"/>
      <c r="AB447" s="118"/>
    </row>
    <row r="448" ht="15.75" customHeight="1">
      <c r="M448" s="113"/>
      <c r="N448" s="113"/>
      <c r="AA448" s="117"/>
      <c r="AB448" s="118"/>
    </row>
    <row r="449" ht="15.75" customHeight="1">
      <c r="M449" s="113"/>
      <c r="N449" s="113"/>
      <c r="AA449" s="117"/>
      <c r="AB449" s="118"/>
    </row>
    <row r="450" ht="15.75" customHeight="1">
      <c r="M450" s="113"/>
      <c r="N450" s="113"/>
      <c r="AA450" s="117"/>
      <c r="AB450" s="118"/>
    </row>
    <row r="451" ht="15.75" customHeight="1">
      <c r="M451" s="113"/>
      <c r="N451" s="113"/>
      <c r="AA451" s="117"/>
      <c r="AB451" s="118"/>
    </row>
    <row r="452" ht="15.75" customHeight="1">
      <c r="M452" s="113"/>
      <c r="N452" s="113"/>
      <c r="AA452" s="117"/>
      <c r="AB452" s="118"/>
    </row>
    <row r="453" ht="15.75" customHeight="1">
      <c r="M453" s="113"/>
      <c r="N453" s="113"/>
      <c r="AA453" s="117"/>
      <c r="AB453" s="118"/>
    </row>
    <row r="454" ht="15.75" customHeight="1">
      <c r="M454" s="113"/>
      <c r="N454" s="113"/>
      <c r="AA454" s="117"/>
      <c r="AB454" s="118"/>
    </row>
    <row r="455" ht="15.75" customHeight="1">
      <c r="M455" s="113"/>
      <c r="N455" s="113"/>
      <c r="AA455" s="117"/>
      <c r="AB455" s="118"/>
    </row>
    <row r="456" ht="15.75" customHeight="1">
      <c r="M456" s="113"/>
      <c r="N456" s="113"/>
      <c r="AA456" s="117"/>
      <c r="AB456" s="118"/>
    </row>
    <row r="457" ht="15.75" customHeight="1">
      <c r="M457" s="113"/>
      <c r="N457" s="113"/>
      <c r="AA457" s="117"/>
      <c r="AB457" s="118"/>
    </row>
    <row r="458" ht="15.75" customHeight="1">
      <c r="M458" s="113"/>
      <c r="N458" s="113"/>
      <c r="AA458" s="117"/>
      <c r="AB458" s="118"/>
    </row>
    <row r="459" ht="15.75" customHeight="1">
      <c r="M459" s="113"/>
      <c r="N459" s="113"/>
      <c r="AA459" s="117"/>
      <c r="AB459" s="118"/>
    </row>
    <row r="460" ht="15.75" customHeight="1">
      <c r="M460" s="113"/>
      <c r="N460" s="113"/>
      <c r="AA460" s="117"/>
      <c r="AB460" s="118"/>
    </row>
    <row r="461" ht="15.75" customHeight="1">
      <c r="M461" s="113"/>
      <c r="N461" s="113"/>
      <c r="AA461" s="117"/>
      <c r="AB461" s="118"/>
    </row>
    <row r="462" ht="15.75" customHeight="1">
      <c r="M462" s="113"/>
      <c r="N462" s="113"/>
      <c r="AA462" s="117"/>
      <c r="AB462" s="118"/>
    </row>
    <row r="463" ht="15.75" customHeight="1">
      <c r="M463" s="113"/>
      <c r="N463" s="113"/>
      <c r="AA463" s="117"/>
      <c r="AB463" s="118"/>
    </row>
    <row r="464" ht="15.75" customHeight="1">
      <c r="M464" s="113"/>
      <c r="N464" s="113"/>
      <c r="AA464" s="117"/>
      <c r="AB464" s="118"/>
    </row>
    <row r="465" ht="15.75" customHeight="1">
      <c r="M465" s="113"/>
      <c r="N465" s="113"/>
      <c r="AA465" s="117"/>
      <c r="AB465" s="118"/>
    </row>
    <row r="466" ht="15.75" customHeight="1">
      <c r="M466" s="113"/>
      <c r="N466" s="113"/>
      <c r="AA466" s="117"/>
      <c r="AB466" s="118"/>
    </row>
    <row r="467" ht="15.75" customHeight="1">
      <c r="M467" s="113"/>
      <c r="N467" s="113"/>
      <c r="AA467" s="117"/>
      <c r="AB467" s="118"/>
    </row>
    <row r="468" ht="15.75" customHeight="1">
      <c r="M468" s="113"/>
      <c r="N468" s="113"/>
      <c r="AA468" s="117"/>
      <c r="AB468" s="118"/>
    </row>
    <row r="469" ht="15.75" customHeight="1">
      <c r="M469" s="113"/>
      <c r="N469" s="113"/>
      <c r="AA469" s="117"/>
      <c r="AB469" s="118"/>
    </row>
    <row r="470" ht="15.75" customHeight="1">
      <c r="M470" s="113"/>
      <c r="N470" s="113"/>
      <c r="AA470" s="117"/>
      <c r="AB470" s="118"/>
    </row>
    <row r="471" ht="15.75" customHeight="1">
      <c r="M471" s="113"/>
      <c r="N471" s="113"/>
      <c r="AA471" s="117"/>
      <c r="AB471" s="118"/>
    </row>
    <row r="472" ht="15.75" customHeight="1">
      <c r="M472" s="113"/>
      <c r="N472" s="113"/>
      <c r="AA472" s="117"/>
      <c r="AB472" s="118"/>
    </row>
    <row r="473" ht="15.75" customHeight="1">
      <c r="M473" s="113"/>
      <c r="N473" s="113"/>
      <c r="AA473" s="117"/>
      <c r="AB473" s="118"/>
    </row>
    <row r="474" ht="15.75" customHeight="1">
      <c r="M474" s="113"/>
      <c r="N474" s="113"/>
      <c r="AA474" s="117"/>
      <c r="AB474" s="118"/>
    </row>
    <row r="475" ht="15.75" customHeight="1">
      <c r="M475" s="113"/>
      <c r="N475" s="113"/>
      <c r="AA475" s="117"/>
      <c r="AB475" s="118"/>
    </row>
    <row r="476" ht="15.75" customHeight="1">
      <c r="M476" s="113"/>
      <c r="N476" s="113"/>
      <c r="AA476" s="117"/>
      <c r="AB476" s="118"/>
    </row>
    <row r="477" ht="15.75" customHeight="1">
      <c r="M477" s="113"/>
      <c r="N477" s="113"/>
      <c r="AA477" s="117"/>
      <c r="AB477" s="118"/>
    </row>
    <row r="478" ht="15.75" customHeight="1">
      <c r="M478" s="113"/>
      <c r="N478" s="113"/>
      <c r="AA478" s="117"/>
      <c r="AB478" s="118"/>
    </row>
    <row r="479" ht="15.75" customHeight="1">
      <c r="M479" s="113"/>
      <c r="N479" s="113"/>
      <c r="AA479" s="117"/>
      <c r="AB479" s="118"/>
    </row>
    <row r="480" ht="15.75" customHeight="1">
      <c r="M480" s="113"/>
      <c r="N480" s="113"/>
      <c r="AA480" s="117"/>
      <c r="AB480" s="118"/>
    </row>
    <row r="481" ht="15.75" customHeight="1">
      <c r="M481" s="113"/>
      <c r="N481" s="113"/>
      <c r="AA481" s="117"/>
      <c r="AB481" s="118"/>
    </row>
    <row r="482" ht="15.75" customHeight="1">
      <c r="M482" s="113"/>
      <c r="N482" s="113"/>
      <c r="AA482" s="117"/>
      <c r="AB482" s="118"/>
    </row>
    <row r="483" ht="15.75" customHeight="1">
      <c r="M483" s="113"/>
      <c r="N483" s="113"/>
      <c r="AA483" s="117"/>
      <c r="AB483" s="118"/>
    </row>
    <row r="484" ht="15.75" customHeight="1">
      <c r="M484" s="113"/>
      <c r="N484" s="113"/>
      <c r="AA484" s="117"/>
      <c r="AB484" s="118"/>
    </row>
    <row r="485" ht="15.75" customHeight="1">
      <c r="M485" s="113"/>
      <c r="N485" s="113"/>
      <c r="AA485" s="117"/>
      <c r="AB485" s="118"/>
    </row>
    <row r="486" ht="15.75" customHeight="1">
      <c r="M486" s="113"/>
      <c r="N486" s="113"/>
      <c r="AA486" s="117"/>
      <c r="AB486" s="118"/>
    </row>
    <row r="487" ht="15.75" customHeight="1">
      <c r="M487" s="113"/>
      <c r="N487" s="113"/>
      <c r="AA487" s="117"/>
      <c r="AB487" s="118"/>
    </row>
    <row r="488" ht="15.75" customHeight="1">
      <c r="M488" s="113"/>
      <c r="N488" s="113"/>
      <c r="AA488" s="117"/>
      <c r="AB488" s="118"/>
    </row>
    <row r="489" ht="15.75" customHeight="1">
      <c r="M489" s="113"/>
      <c r="N489" s="113"/>
      <c r="AA489" s="117"/>
      <c r="AB489" s="118"/>
    </row>
    <row r="490" ht="15.75" customHeight="1">
      <c r="M490" s="113"/>
      <c r="N490" s="113"/>
      <c r="AA490" s="117"/>
      <c r="AB490" s="118"/>
    </row>
    <row r="491" ht="15.75" customHeight="1">
      <c r="M491" s="113"/>
      <c r="N491" s="113"/>
      <c r="AA491" s="117"/>
      <c r="AB491" s="118"/>
    </row>
    <row r="492" ht="15.75" customHeight="1">
      <c r="M492" s="113"/>
      <c r="N492" s="113"/>
      <c r="AA492" s="117"/>
      <c r="AB492" s="118"/>
    </row>
    <row r="493" ht="15.75" customHeight="1">
      <c r="M493" s="113"/>
      <c r="N493" s="113"/>
      <c r="AA493" s="117"/>
      <c r="AB493" s="118"/>
    </row>
    <row r="494" ht="15.75" customHeight="1">
      <c r="M494" s="113"/>
      <c r="N494" s="113"/>
      <c r="AA494" s="117"/>
      <c r="AB494" s="118"/>
    </row>
    <row r="495" ht="15.75" customHeight="1">
      <c r="M495" s="113"/>
      <c r="N495" s="113"/>
      <c r="AA495" s="117"/>
      <c r="AB495" s="118"/>
    </row>
    <row r="496" ht="15.75" customHeight="1">
      <c r="M496" s="113"/>
      <c r="N496" s="113"/>
      <c r="AA496" s="117"/>
      <c r="AB496" s="118"/>
    </row>
    <row r="497" ht="15.75" customHeight="1">
      <c r="M497" s="113"/>
      <c r="N497" s="113"/>
      <c r="AA497" s="117"/>
      <c r="AB497" s="118"/>
    </row>
    <row r="498" ht="15.75" customHeight="1">
      <c r="M498" s="113"/>
      <c r="N498" s="113"/>
      <c r="AA498" s="117"/>
      <c r="AB498" s="118"/>
    </row>
    <row r="499" ht="15.75" customHeight="1">
      <c r="M499" s="113"/>
      <c r="N499" s="113"/>
      <c r="AA499" s="117"/>
      <c r="AB499" s="118"/>
    </row>
    <row r="500" ht="15.75" customHeight="1">
      <c r="M500" s="113"/>
      <c r="N500" s="113"/>
      <c r="AA500" s="117"/>
      <c r="AB500" s="118"/>
    </row>
    <row r="501" ht="15.75" customHeight="1">
      <c r="M501" s="113"/>
      <c r="N501" s="113"/>
      <c r="AA501" s="117"/>
      <c r="AB501" s="118"/>
    </row>
    <row r="502" ht="15.75" customHeight="1">
      <c r="M502" s="113"/>
      <c r="N502" s="113"/>
      <c r="AA502" s="117"/>
      <c r="AB502" s="118"/>
    </row>
    <row r="503" ht="15.75" customHeight="1">
      <c r="M503" s="113"/>
      <c r="N503" s="113"/>
      <c r="AA503" s="117"/>
      <c r="AB503" s="118"/>
    </row>
    <row r="504" ht="15.75" customHeight="1">
      <c r="M504" s="113"/>
      <c r="N504" s="113"/>
      <c r="AA504" s="117"/>
      <c r="AB504" s="118"/>
    </row>
    <row r="505" ht="15.75" customHeight="1">
      <c r="M505" s="113"/>
      <c r="N505" s="113"/>
      <c r="AA505" s="117"/>
      <c r="AB505" s="118"/>
    </row>
    <row r="506" ht="15.75" customHeight="1">
      <c r="M506" s="113"/>
      <c r="N506" s="113"/>
      <c r="AA506" s="117"/>
      <c r="AB506" s="118"/>
    </row>
    <row r="507" ht="15.75" customHeight="1">
      <c r="M507" s="113"/>
      <c r="N507" s="113"/>
      <c r="AA507" s="117"/>
      <c r="AB507" s="118"/>
    </row>
    <row r="508" ht="15.75" customHeight="1">
      <c r="M508" s="113"/>
      <c r="N508" s="113"/>
      <c r="AA508" s="117"/>
      <c r="AB508" s="118"/>
    </row>
    <row r="509" ht="15.75" customHeight="1">
      <c r="M509" s="113"/>
      <c r="N509" s="113"/>
      <c r="AA509" s="117"/>
      <c r="AB509" s="118"/>
    </row>
    <row r="510" ht="15.75" customHeight="1">
      <c r="M510" s="113"/>
      <c r="N510" s="113"/>
      <c r="AA510" s="117"/>
      <c r="AB510" s="118"/>
    </row>
    <row r="511" ht="15.75" customHeight="1">
      <c r="M511" s="113"/>
      <c r="N511" s="113"/>
      <c r="AA511" s="117"/>
      <c r="AB511" s="118"/>
    </row>
    <row r="512" ht="15.75" customHeight="1">
      <c r="M512" s="113"/>
      <c r="N512" s="113"/>
      <c r="AA512" s="117"/>
      <c r="AB512" s="118"/>
    </row>
    <row r="513" ht="15.75" customHeight="1">
      <c r="M513" s="113"/>
      <c r="N513" s="113"/>
      <c r="AA513" s="117"/>
      <c r="AB513" s="118"/>
    </row>
    <row r="514" ht="15.75" customHeight="1">
      <c r="M514" s="113"/>
      <c r="N514" s="113"/>
      <c r="AA514" s="117"/>
      <c r="AB514" s="118"/>
    </row>
    <row r="515" ht="15.75" customHeight="1">
      <c r="M515" s="113"/>
      <c r="N515" s="113"/>
      <c r="AA515" s="117"/>
      <c r="AB515" s="118"/>
    </row>
    <row r="516" ht="15.75" customHeight="1">
      <c r="M516" s="113"/>
      <c r="N516" s="113"/>
      <c r="AA516" s="117"/>
      <c r="AB516" s="118"/>
    </row>
    <row r="517" ht="15.75" customHeight="1">
      <c r="M517" s="113"/>
      <c r="N517" s="113"/>
      <c r="AA517" s="117"/>
      <c r="AB517" s="118"/>
    </row>
    <row r="518" ht="15.75" customHeight="1">
      <c r="M518" s="113"/>
      <c r="N518" s="113"/>
      <c r="AA518" s="117"/>
      <c r="AB518" s="118"/>
    </row>
    <row r="519" ht="15.75" customHeight="1">
      <c r="M519" s="113"/>
      <c r="N519" s="113"/>
      <c r="AA519" s="117"/>
      <c r="AB519" s="118"/>
    </row>
    <row r="520" ht="15.75" customHeight="1">
      <c r="M520" s="113"/>
      <c r="N520" s="113"/>
      <c r="AA520" s="117"/>
      <c r="AB520" s="118"/>
    </row>
    <row r="521" ht="15.75" customHeight="1">
      <c r="M521" s="113"/>
      <c r="N521" s="113"/>
      <c r="AA521" s="117"/>
      <c r="AB521" s="118"/>
    </row>
    <row r="522" ht="15.75" customHeight="1">
      <c r="M522" s="113"/>
      <c r="N522" s="113"/>
      <c r="AA522" s="117"/>
      <c r="AB522" s="118"/>
    </row>
    <row r="523" ht="15.75" customHeight="1">
      <c r="M523" s="113"/>
      <c r="N523" s="113"/>
      <c r="AA523" s="117"/>
      <c r="AB523" s="118"/>
    </row>
    <row r="524" ht="15.75" customHeight="1">
      <c r="M524" s="113"/>
      <c r="N524" s="113"/>
      <c r="AA524" s="117"/>
      <c r="AB524" s="118"/>
    </row>
    <row r="525" ht="15.75" customHeight="1">
      <c r="M525" s="113"/>
      <c r="N525" s="113"/>
      <c r="AA525" s="117"/>
      <c r="AB525" s="118"/>
    </row>
    <row r="526" ht="15.75" customHeight="1">
      <c r="M526" s="113"/>
      <c r="N526" s="113"/>
      <c r="AA526" s="117"/>
      <c r="AB526" s="118"/>
    </row>
    <row r="527" ht="15.75" customHeight="1">
      <c r="M527" s="113"/>
      <c r="N527" s="113"/>
      <c r="AA527" s="117"/>
      <c r="AB527" s="118"/>
    </row>
    <row r="528" ht="15.75" customHeight="1">
      <c r="M528" s="113"/>
      <c r="N528" s="113"/>
      <c r="AA528" s="117"/>
      <c r="AB528" s="118"/>
    </row>
    <row r="529" ht="15.75" customHeight="1">
      <c r="M529" s="113"/>
      <c r="N529" s="113"/>
      <c r="AA529" s="117"/>
      <c r="AB529" s="118"/>
    </row>
    <row r="530" ht="15.75" customHeight="1">
      <c r="M530" s="113"/>
      <c r="N530" s="113"/>
      <c r="AA530" s="117"/>
      <c r="AB530" s="118"/>
    </row>
    <row r="531" ht="15.75" customHeight="1">
      <c r="M531" s="113"/>
      <c r="N531" s="113"/>
      <c r="AA531" s="117"/>
      <c r="AB531" s="118"/>
    </row>
    <row r="532" ht="15.75" customHeight="1">
      <c r="M532" s="113"/>
      <c r="N532" s="113"/>
      <c r="AA532" s="117"/>
      <c r="AB532" s="118"/>
    </row>
    <row r="533" ht="15.75" customHeight="1">
      <c r="M533" s="113"/>
      <c r="N533" s="113"/>
      <c r="AA533" s="117"/>
      <c r="AB533" s="118"/>
    </row>
    <row r="534" ht="15.75" customHeight="1">
      <c r="M534" s="113"/>
      <c r="N534" s="113"/>
      <c r="AA534" s="117"/>
      <c r="AB534" s="118"/>
    </row>
    <row r="535" ht="15.75" customHeight="1">
      <c r="M535" s="113"/>
      <c r="N535" s="113"/>
      <c r="AA535" s="117"/>
      <c r="AB535" s="118"/>
    </row>
    <row r="536" ht="15.75" customHeight="1">
      <c r="M536" s="113"/>
      <c r="N536" s="113"/>
      <c r="AA536" s="117"/>
      <c r="AB536" s="118"/>
    </row>
    <row r="537" ht="15.75" customHeight="1">
      <c r="M537" s="113"/>
      <c r="N537" s="113"/>
      <c r="AA537" s="117"/>
      <c r="AB537" s="118"/>
    </row>
    <row r="538" ht="15.75" customHeight="1">
      <c r="M538" s="113"/>
      <c r="N538" s="113"/>
      <c r="AA538" s="117"/>
      <c r="AB538" s="118"/>
    </row>
    <row r="539" ht="15.75" customHeight="1">
      <c r="M539" s="113"/>
      <c r="N539" s="113"/>
      <c r="AA539" s="117"/>
      <c r="AB539" s="118"/>
    </row>
    <row r="540" ht="15.75" customHeight="1">
      <c r="M540" s="113"/>
      <c r="N540" s="113"/>
      <c r="AA540" s="117"/>
      <c r="AB540" s="118"/>
    </row>
    <row r="541" ht="15.75" customHeight="1">
      <c r="M541" s="113"/>
      <c r="N541" s="113"/>
      <c r="AA541" s="117"/>
      <c r="AB541" s="118"/>
    </row>
    <row r="542" ht="15.75" customHeight="1">
      <c r="M542" s="113"/>
      <c r="N542" s="113"/>
      <c r="AA542" s="117"/>
      <c r="AB542" s="118"/>
    </row>
    <row r="543" ht="15.75" customHeight="1">
      <c r="M543" s="113"/>
      <c r="N543" s="113"/>
      <c r="AA543" s="117"/>
      <c r="AB543" s="118"/>
    </row>
    <row r="544" ht="15.75" customHeight="1">
      <c r="M544" s="113"/>
      <c r="N544" s="113"/>
      <c r="AA544" s="117"/>
      <c r="AB544" s="118"/>
    </row>
    <row r="545" ht="15.75" customHeight="1">
      <c r="M545" s="113"/>
      <c r="N545" s="113"/>
      <c r="AA545" s="117"/>
      <c r="AB545" s="118"/>
    </row>
    <row r="546" ht="15.75" customHeight="1">
      <c r="M546" s="113"/>
      <c r="N546" s="113"/>
      <c r="AA546" s="117"/>
      <c r="AB546" s="118"/>
    </row>
    <row r="547" ht="15.75" customHeight="1">
      <c r="M547" s="113"/>
      <c r="N547" s="113"/>
      <c r="AA547" s="117"/>
      <c r="AB547" s="118"/>
    </row>
    <row r="548" ht="15.75" customHeight="1">
      <c r="M548" s="113"/>
      <c r="N548" s="113"/>
      <c r="AA548" s="117"/>
      <c r="AB548" s="118"/>
    </row>
    <row r="549" ht="15.75" customHeight="1">
      <c r="M549" s="113"/>
      <c r="N549" s="113"/>
      <c r="AA549" s="117"/>
      <c r="AB549" s="118"/>
    </row>
    <row r="550" ht="15.75" customHeight="1">
      <c r="M550" s="113"/>
      <c r="N550" s="113"/>
      <c r="AA550" s="117"/>
      <c r="AB550" s="118"/>
    </row>
    <row r="551" ht="15.75" customHeight="1">
      <c r="M551" s="113"/>
      <c r="N551" s="113"/>
      <c r="AA551" s="117"/>
      <c r="AB551" s="118"/>
    </row>
    <row r="552" ht="15.75" customHeight="1">
      <c r="M552" s="113"/>
      <c r="N552" s="113"/>
      <c r="AA552" s="117"/>
      <c r="AB552" s="118"/>
    </row>
    <row r="553" ht="15.75" customHeight="1">
      <c r="M553" s="113"/>
      <c r="N553" s="113"/>
      <c r="AA553" s="117"/>
      <c r="AB553" s="118"/>
    </row>
    <row r="554" ht="15.75" customHeight="1">
      <c r="M554" s="113"/>
      <c r="N554" s="113"/>
      <c r="AA554" s="117"/>
      <c r="AB554" s="118"/>
    </row>
    <row r="555" ht="15.75" customHeight="1">
      <c r="M555" s="113"/>
      <c r="N555" s="113"/>
      <c r="AA555" s="117"/>
      <c r="AB555" s="118"/>
    </row>
    <row r="556" ht="15.75" customHeight="1">
      <c r="M556" s="113"/>
      <c r="N556" s="113"/>
      <c r="AA556" s="117"/>
      <c r="AB556" s="118"/>
    </row>
    <row r="557" ht="15.75" customHeight="1">
      <c r="M557" s="113"/>
      <c r="N557" s="113"/>
      <c r="AA557" s="117"/>
      <c r="AB557" s="118"/>
    </row>
    <row r="558" ht="15.75" customHeight="1">
      <c r="M558" s="113"/>
      <c r="N558" s="113"/>
      <c r="AA558" s="117"/>
      <c r="AB558" s="118"/>
    </row>
    <row r="559" ht="15.75" customHeight="1">
      <c r="M559" s="113"/>
      <c r="N559" s="113"/>
      <c r="AA559" s="117"/>
      <c r="AB559" s="118"/>
    </row>
    <row r="560" ht="15.75" customHeight="1">
      <c r="M560" s="113"/>
      <c r="N560" s="113"/>
      <c r="AA560" s="117"/>
      <c r="AB560" s="118"/>
    </row>
    <row r="561" ht="15.75" customHeight="1">
      <c r="M561" s="113"/>
      <c r="N561" s="113"/>
      <c r="AA561" s="117"/>
      <c r="AB561" s="118"/>
    </row>
    <row r="562" ht="15.75" customHeight="1">
      <c r="M562" s="113"/>
      <c r="N562" s="113"/>
      <c r="AA562" s="117"/>
      <c r="AB562" s="118"/>
    </row>
    <row r="563" ht="15.75" customHeight="1">
      <c r="M563" s="113"/>
      <c r="N563" s="113"/>
      <c r="AA563" s="117"/>
      <c r="AB563" s="118"/>
    </row>
    <row r="564" ht="15.75" customHeight="1">
      <c r="M564" s="113"/>
      <c r="N564" s="113"/>
      <c r="AA564" s="117"/>
      <c r="AB564" s="118"/>
    </row>
    <row r="565" ht="15.75" customHeight="1">
      <c r="M565" s="113"/>
      <c r="N565" s="113"/>
      <c r="AA565" s="117"/>
      <c r="AB565" s="118"/>
    </row>
    <row r="566" ht="15.75" customHeight="1">
      <c r="M566" s="113"/>
      <c r="N566" s="113"/>
      <c r="AA566" s="117"/>
      <c r="AB566" s="118"/>
    </row>
    <row r="567" ht="15.75" customHeight="1">
      <c r="M567" s="113"/>
      <c r="N567" s="113"/>
      <c r="AA567" s="117"/>
      <c r="AB567" s="118"/>
    </row>
    <row r="568" ht="15.75" customHeight="1">
      <c r="M568" s="113"/>
      <c r="N568" s="113"/>
      <c r="AA568" s="117"/>
      <c r="AB568" s="118"/>
    </row>
    <row r="569" ht="15.75" customHeight="1">
      <c r="M569" s="113"/>
      <c r="N569" s="113"/>
      <c r="AA569" s="117"/>
      <c r="AB569" s="118"/>
    </row>
    <row r="570" ht="15.75" customHeight="1">
      <c r="M570" s="113"/>
      <c r="N570" s="113"/>
      <c r="AA570" s="117"/>
      <c r="AB570" s="118"/>
    </row>
    <row r="571" ht="15.75" customHeight="1">
      <c r="M571" s="113"/>
      <c r="N571" s="113"/>
      <c r="AA571" s="117"/>
      <c r="AB571" s="118"/>
    </row>
    <row r="572" ht="15.75" customHeight="1">
      <c r="M572" s="113"/>
      <c r="N572" s="113"/>
      <c r="AA572" s="117"/>
      <c r="AB572" s="118"/>
    </row>
    <row r="573" ht="15.75" customHeight="1">
      <c r="M573" s="113"/>
      <c r="N573" s="113"/>
      <c r="AA573" s="117"/>
      <c r="AB573" s="118"/>
    </row>
    <row r="574" ht="15.75" customHeight="1">
      <c r="M574" s="113"/>
      <c r="N574" s="113"/>
      <c r="AA574" s="117"/>
      <c r="AB574" s="118"/>
    </row>
    <row r="575" ht="15.75" customHeight="1">
      <c r="M575" s="113"/>
      <c r="N575" s="113"/>
      <c r="AA575" s="117"/>
      <c r="AB575" s="118"/>
    </row>
    <row r="576" ht="15.75" customHeight="1">
      <c r="M576" s="113"/>
      <c r="N576" s="113"/>
      <c r="AA576" s="117"/>
      <c r="AB576" s="118"/>
    </row>
    <row r="577" ht="15.75" customHeight="1">
      <c r="M577" s="113"/>
      <c r="N577" s="113"/>
      <c r="AA577" s="117"/>
      <c r="AB577" s="118"/>
    </row>
    <row r="578" ht="15.75" customHeight="1">
      <c r="M578" s="113"/>
      <c r="N578" s="113"/>
      <c r="AA578" s="117"/>
      <c r="AB578" s="118"/>
    </row>
    <row r="579" ht="15.75" customHeight="1">
      <c r="M579" s="113"/>
      <c r="N579" s="113"/>
      <c r="AA579" s="117"/>
      <c r="AB579" s="118"/>
    </row>
    <row r="580" ht="15.75" customHeight="1">
      <c r="M580" s="113"/>
      <c r="N580" s="113"/>
      <c r="AA580" s="117"/>
      <c r="AB580" s="118"/>
    </row>
    <row r="581" ht="15.75" customHeight="1">
      <c r="M581" s="113"/>
      <c r="N581" s="113"/>
      <c r="AA581" s="117"/>
      <c r="AB581" s="118"/>
    </row>
    <row r="582" ht="15.75" customHeight="1">
      <c r="M582" s="113"/>
      <c r="N582" s="113"/>
      <c r="AA582" s="117"/>
      <c r="AB582" s="118"/>
    </row>
    <row r="583" ht="15.75" customHeight="1">
      <c r="M583" s="113"/>
      <c r="N583" s="113"/>
      <c r="AA583" s="117"/>
      <c r="AB583" s="118"/>
    </row>
    <row r="584" ht="15.75" customHeight="1">
      <c r="M584" s="113"/>
      <c r="N584" s="113"/>
      <c r="AA584" s="117"/>
      <c r="AB584" s="118"/>
    </row>
    <row r="585" ht="15.75" customHeight="1">
      <c r="M585" s="113"/>
      <c r="N585" s="113"/>
      <c r="AA585" s="117"/>
      <c r="AB585" s="118"/>
    </row>
    <row r="586" ht="15.75" customHeight="1">
      <c r="M586" s="113"/>
      <c r="N586" s="113"/>
      <c r="AA586" s="117"/>
      <c r="AB586" s="118"/>
    </row>
    <row r="587" ht="15.75" customHeight="1">
      <c r="M587" s="113"/>
      <c r="N587" s="113"/>
      <c r="AA587" s="117"/>
      <c r="AB587" s="118"/>
    </row>
    <row r="588" ht="15.75" customHeight="1">
      <c r="M588" s="113"/>
      <c r="N588" s="113"/>
      <c r="AA588" s="117"/>
      <c r="AB588" s="118"/>
    </row>
    <row r="589" ht="15.75" customHeight="1">
      <c r="M589" s="113"/>
      <c r="N589" s="113"/>
      <c r="AA589" s="117"/>
      <c r="AB589" s="118"/>
    </row>
    <row r="590" ht="15.75" customHeight="1">
      <c r="M590" s="113"/>
      <c r="N590" s="113"/>
      <c r="AA590" s="117"/>
      <c r="AB590" s="118"/>
    </row>
    <row r="591" ht="15.75" customHeight="1">
      <c r="M591" s="113"/>
      <c r="N591" s="113"/>
      <c r="AA591" s="117"/>
      <c r="AB591" s="118"/>
    </row>
    <row r="592" ht="15.75" customHeight="1">
      <c r="M592" s="113"/>
      <c r="N592" s="113"/>
      <c r="AA592" s="117"/>
      <c r="AB592" s="118"/>
    </row>
    <row r="593" ht="15.75" customHeight="1">
      <c r="M593" s="113"/>
      <c r="N593" s="113"/>
      <c r="AA593" s="117"/>
      <c r="AB593" s="118"/>
    </row>
    <row r="594" ht="15.75" customHeight="1">
      <c r="M594" s="113"/>
      <c r="N594" s="113"/>
      <c r="AA594" s="117"/>
      <c r="AB594" s="118"/>
    </row>
    <row r="595" ht="15.75" customHeight="1">
      <c r="M595" s="113"/>
      <c r="N595" s="113"/>
      <c r="AA595" s="117"/>
      <c r="AB595" s="118"/>
    </row>
    <row r="596" ht="15.75" customHeight="1">
      <c r="M596" s="113"/>
      <c r="N596" s="113"/>
      <c r="AA596" s="117"/>
      <c r="AB596" s="118"/>
    </row>
    <row r="597" ht="15.75" customHeight="1">
      <c r="M597" s="113"/>
      <c r="N597" s="113"/>
      <c r="AA597" s="117"/>
      <c r="AB597" s="118"/>
    </row>
    <row r="598" ht="15.75" customHeight="1">
      <c r="M598" s="113"/>
      <c r="N598" s="113"/>
      <c r="AA598" s="117"/>
      <c r="AB598" s="118"/>
    </row>
    <row r="599" ht="15.75" customHeight="1">
      <c r="M599" s="113"/>
      <c r="N599" s="113"/>
      <c r="AA599" s="117"/>
      <c r="AB599" s="118"/>
    </row>
    <row r="600" ht="15.75" customHeight="1">
      <c r="M600" s="113"/>
      <c r="N600" s="113"/>
      <c r="AA600" s="117"/>
      <c r="AB600" s="118"/>
    </row>
    <row r="601" ht="15.75" customHeight="1">
      <c r="M601" s="113"/>
      <c r="N601" s="113"/>
      <c r="AA601" s="117"/>
      <c r="AB601" s="118"/>
    </row>
    <row r="602" ht="15.75" customHeight="1">
      <c r="M602" s="113"/>
      <c r="N602" s="113"/>
      <c r="AA602" s="117"/>
      <c r="AB602" s="118"/>
    </row>
    <row r="603" ht="15.75" customHeight="1">
      <c r="M603" s="113"/>
      <c r="N603" s="113"/>
      <c r="AA603" s="117"/>
      <c r="AB603" s="118"/>
    </row>
    <row r="604" ht="15.75" customHeight="1">
      <c r="M604" s="113"/>
      <c r="N604" s="113"/>
      <c r="AA604" s="117"/>
      <c r="AB604" s="118"/>
    </row>
    <row r="605" ht="15.75" customHeight="1">
      <c r="M605" s="113"/>
      <c r="N605" s="113"/>
      <c r="AA605" s="117"/>
      <c r="AB605" s="118"/>
    </row>
    <row r="606" ht="15.75" customHeight="1">
      <c r="M606" s="113"/>
      <c r="N606" s="113"/>
      <c r="AA606" s="117"/>
      <c r="AB606" s="118"/>
    </row>
    <row r="607" ht="15.75" customHeight="1">
      <c r="M607" s="113"/>
      <c r="N607" s="113"/>
      <c r="AA607" s="117"/>
      <c r="AB607" s="118"/>
    </row>
    <row r="608" ht="15.75" customHeight="1">
      <c r="M608" s="113"/>
      <c r="N608" s="113"/>
      <c r="AA608" s="117"/>
      <c r="AB608" s="118"/>
    </row>
    <row r="609" ht="15.75" customHeight="1">
      <c r="M609" s="113"/>
      <c r="N609" s="113"/>
      <c r="AA609" s="117"/>
      <c r="AB609" s="118"/>
    </row>
    <row r="610" ht="15.75" customHeight="1">
      <c r="M610" s="113"/>
      <c r="N610" s="113"/>
      <c r="AA610" s="117"/>
      <c r="AB610" s="118"/>
    </row>
    <row r="611" ht="15.75" customHeight="1">
      <c r="M611" s="113"/>
      <c r="N611" s="113"/>
      <c r="AA611" s="117"/>
      <c r="AB611" s="118"/>
    </row>
    <row r="612" ht="15.75" customHeight="1">
      <c r="M612" s="113"/>
      <c r="N612" s="113"/>
      <c r="AA612" s="117"/>
      <c r="AB612" s="118"/>
    </row>
    <row r="613" ht="15.75" customHeight="1">
      <c r="M613" s="113"/>
      <c r="N613" s="113"/>
      <c r="AA613" s="117"/>
      <c r="AB613" s="118"/>
    </row>
    <row r="614" ht="15.75" customHeight="1">
      <c r="M614" s="113"/>
      <c r="N614" s="113"/>
      <c r="AA614" s="117"/>
      <c r="AB614" s="118"/>
    </row>
    <row r="615" ht="15.75" customHeight="1">
      <c r="M615" s="113"/>
      <c r="N615" s="113"/>
      <c r="AA615" s="117"/>
      <c r="AB615" s="118"/>
    </row>
    <row r="616" ht="15.75" customHeight="1">
      <c r="M616" s="113"/>
      <c r="N616" s="113"/>
      <c r="AA616" s="117"/>
      <c r="AB616" s="118"/>
    </row>
    <row r="617" ht="15.75" customHeight="1">
      <c r="M617" s="113"/>
      <c r="N617" s="113"/>
      <c r="AA617" s="117"/>
      <c r="AB617" s="118"/>
    </row>
    <row r="618" ht="15.75" customHeight="1">
      <c r="M618" s="113"/>
      <c r="N618" s="113"/>
      <c r="AA618" s="117"/>
      <c r="AB618" s="118"/>
    </row>
    <row r="619" ht="15.75" customHeight="1">
      <c r="M619" s="113"/>
      <c r="N619" s="113"/>
      <c r="AA619" s="117"/>
      <c r="AB619" s="118"/>
    </row>
    <row r="620" ht="15.75" customHeight="1">
      <c r="M620" s="113"/>
      <c r="N620" s="113"/>
      <c r="AA620" s="117"/>
      <c r="AB620" s="118"/>
    </row>
    <row r="621" ht="15.75" customHeight="1">
      <c r="M621" s="113"/>
      <c r="N621" s="113"/>
      <c r="AA621" s="117"/>
      <c r="AB621" s="118"/>
    </row>
    <row r="622" ht="15.75" customHeight="1">
      <c r="M622" s="113"/>
      <c r="N622" s="113"/>
      <c r="AA622" s="117"/>
      <c r="AB622" s="118"/>
    </row>
    <row r="623" ht="15.75" customHeight="1">
      <c r="M623" s="113"/>
      <c r="N623" s="113"/>
      <c r="AA623" s="117"/>
      <c r="AB623" s="118"/>
    </row>
    <row r="624" ht="15.75" customHeight="1">
      <c r="M624" s="113"/>
      <c r="N624" s="113"/>
      <c r="AA624" s="117"/>
      <c r="AB624" s="118"/>
    </row>
    <row r="625" ht="15.75" customHeight="1">
      <c r="M625" s="113"/>
      <c r="N625" s="113"/>
      <c r="AA625" s="117"/>
      <c r="AB625" s="118"/>
    </row>
    <row r="626" ht="15.75" customHeight="1">
      <c r="M626" s="113"/>
      <c r="N626" s="113"/>
      <c r="AA626" s="117"/>
      <c r="AB626" s="118"/>
    </row>
    <row r="627" ht="15.75" customHeight="1">
      <c r="M627" s="113"/>
      <c r="N627" s="113"/>
      <c r="AA627" s="117"/>
      <c r="AB627" s="118"/>
    </row>
    <row r="628" ht="15.75" customHeight="1">
      <c r="M628" s="113"/>
      <c r="N628" s="113"/>
      <c r="AA628" s="117"/>
      <c r="AB628" s="118"/>
    </row>
    <row r="629" ht="15.75" customHeight="1">
      <c r="M629" s="113"/>
      <c r="N629" s="113"/>
      <c r="AA629" s="117"/>
      <c r="AB629" s="118"/>
    </row>
    <row r="630" ht="15.75" customHeight="1">
      <c r="M630" s="113"/>
      <c r="N630" s="113"/>
      <c r="AA630" s="117"/>
      <c r="AB630" s="118"/>
    </row>
    <row r="631" ht="15.75" customHeight="1">
      <c r="M631" s="113"/>
      <c r="N631" s="113"/>
      <c r="AA631" s="117"/>
      <c r="AB631" s="118"/>
    </row>
    <row r="632" ht="15.75" customHeight="1">
      <c r="M632" s="113"/>
      <c r="N632" s="113"/>
      <c r="AA632" s="117"/>
      <c r="AB632" s="118"/>
    </row>
    <row r="633" ht="15.75" customHeight="1">
      <c r="M633" s="113"/>
      <c r="N633" s="113"/>
      <c r="AA633" s="117"/>
      <c r="AB633" s="118"/>
    </row>
    <row r="634" ht="15.75" customHeight="1">
      <c r="M634" s="113"/>
      <c r="N634" s="113"/>
      <c r="AA634" s="117"/>
      <c r="AB634" s="118"/>
    </row>
    <row r="635" ht="15.75" customHeight="1">
      <c r="M635" s="113"/>
      <c r="N635" s="113"/>
      <c r="AA635" s="117"/>
      <c r="AB635" s="118"/>
    </row>
    <row r="636" ht="15.75" customHeight="1">
      <c r="M636" s="113"/>
      <c r="N636" s="113"/>
      <c r="AA636" s="117"/>
      <c r="AB636" s="118"/>
    </row>
    <row r="637" ht="15.75" customHeight="1">
      <c r="M637" s="113"/>
      <c r="N637" s="113"/>
      <c r="AA637" s="117"/>
      <c r="AB637" s="118"/>
    </row>
    <row r="638" ht="15.75" customHeight="1">
      <c r="M638" s="113"/>
      <c r="N638" s="113"/>
      <c r="AA638" s="117"/>
      <c r="AB638" s="118"/>
    </row>
    <row r="639" ht="15.75" customHeight="1">
      <c r="M639" s="113"/>
      <c r="N639" s="113"/>
      <c r="AA639" s="117"/>
      <c r="AB639" s="118"/>
    </row>
    <row r="640" ht="15.75" customHeight="1">
      <c r="M640" s="113"/>
      <c r="N640" s="113"/>
      <c r="AA640" s="117"/>
      <c r="AB640" s="118"/>
    </row>
    <row r="641" ht="15.75" customHeight="1">
      <c r="M641" s="113"/>
      <c r="N641" s="113"/>
      <c r="AA641" s="117"/>
      <c r="AB641" s="118"/>
    </row>
    <row r="642" ht="15.75" customHeight="1">
      <c r="M642" s="113"/>
      <c r="N642" s="113"/>
      <c r="AA642" s="117"/>
      <c r="AB642" s="118"/>
    </row>
    <row r="643" ht="15.75" customHeight="1">
      <c r="M643" s="113"/>
      <c r="N643" s="113"/>
      <c r="AA643" s="117"/>
      <c r="AB643" s="118"/>
    </row>
    <row r="644" ht="15.75" customHeight="1">
      <c r="M644" s="113"/>
      <c r="N644" s="113"/>
      <c r="AA644" s="117"/>
      <c r="AB644" s="118"/>
    </row>
    <row r="645" ht="15.75" customHeight="1">
      <c r="M645" s="113"/>
      <c r="N645" s="113"/>
      <c r="AA645" s="117"/>
      <c r="AB645" s="118"/>
    </row>
    <row r="646" ht="15.75" customHeight="1">
      <c r="M646" s="113"/>
      <c r="N646" s="113"/>
      <c r="AA646" s="117"/>
      <c r="AB646" s="118"/>
    </row>
    <row r="647" ht="15.75" customHeight="1">
      <c r="M647" s="113"/>
      <c r="N647" s="113"/>
      <c r="AA647" s="117"/>
      <c r="AB647" s="118"/>
    </row>
    <row r="648" ht="15.75" customHeight="1">
      <c r="M648" s="113"/>
      <c r="N648" s="113"/>
      <c r="AA648" s="117"/>
      <c r="AB648" s="118"/>
    </row>
    <row r="649" ht="15.75" customHeight="1">
      <c r="M649" s="113"/>
      <c r="N649" s="113"/>
      <c r="AA649" s="117"/>
      <c r="AB649" s="118"/>
    </row>
    <row r="650" ht="15.75" customHeight="1">
      <c r="M650" s="113"/>
      <c r="N650" s="113"/>
      <c r="AA650" s="117"/>
      <c r="AB650" s="118"/>
    </row>
    <row r="651" ht="15.75" customHeight="1">
      <c r="M651" s="113"/>
      <c r="N651" s="113"/>
      <c r="AA651" s="117"/>
      <c r="AB651" s="118"/>
    </row>
    <row r="652" ht="15.75" customHeight="1">
      <c r="M652" s="113"/>
      <c r="N652" s="113"/>
      <c r="AA652" s="117"/>
      <c r="AB652" s="118"/>
    </row>
    <row r="653" ht="15.75" customHeight="1">
      <c r="M653" s="113"/>
      <c r="N653" s="113"/>
      <c r="AA653" s="117"/>
      <c r="AB653" s="118"/>
    </row>
    <row r="654" ht="15.75" customHeight="1">
      <c r="M654" s="113"/>
      <c r="N654" s="113"/>
      <c r="AA654" s="117"/>
      <c r="AB654" s="118"/>
    </row>
    <row r="655" ht="15.75" customHeight="1">
      <c r="M655" s="113"/>
      <c r="N655" s="113"/>
      <c r="AA655" s="117"/>
      <c r="AB655" s="118"/>
    </row>
    <row r="656" ht="15.75" customHeight="1">
      <c r="M656" s="113"/>
      <c r="N656" s="113"/>
      <c r="AA656" s="117"/>
      <c r="AB656" s="118"/>
    </row>
    <row r="657" ht="15.75" customHeight="1">
      <c r="M657" s="113"/>
      <c r="N657" s="113"/>
      <c r="AA657" s="117"/>
      <c r="AB657" s="118"/>
    </row>
    <row r="658" ht="15.75" customHeight="1">
      <c r="M658" s="113"/>
      <c r="N658" s="113"/>
      <c r="AA658" s="117"/>
      <c r="AB658" s="118"/>
    </row>
    <row r="659" ht="15.75" customHeight="1">
      <c r="M659" s="113"/>
      <c r="N659" s="113"/>
      <c r="AA659" s="117"/>
      <c r="AB659" s="118"/>
    </row>
    <row r="660" ht="15.75" customHeight="1">
      <c r="M660" s="113"/>
      <c r="N660" s="113"/>
      <c r="AA660" s="117"/>
      <c r="AB660" s="118"/>
    </row>
    <row r="661" ht="15.75" customHeight="1">
      <c r="M661" s="113"/>
      <c r="N661" s="113"/>
      <c r="AA661" s="117"/>
      <c r="AB661" s="118"/>
    </row>
    <row r="662" ht="15.75" customHeight="1">
      <c r="M662" s="113"/>
      <c r="N662" s="113"/>
      <c r="AA662" s="117"/>
      <c r="AB662" s="118"/>
    </row>
    <row r="663" ht="15.75" customHeight="1">
      <c r="M663" s="113"/>
      <c r="N663" s="113"/>
      <c r="AA663" s="117"/>
      <c r="AB663" s="118"/>
    </row>
    <row r="664" ht="15.75" customHeight="1">
      <c r="M664" s="113"/>
      <c r="N664" s="113"/>
      <c r="AA664" s="117"/>
      <c r="AB664" s="118"/>
    </row>
    <row r="665" ht="15.75" customHeight="1">
      <c r="M665" s="113"/>
      <c r="N665" s="113"/>
      <c r="AA665" s="117"/>
      <c r="AB665" s="118"/>
    </row>
    <row r="666" ht="15.75" customHeight="1">
      <c r="M666" s="113"/>
      <c r="N666" s="113"/>
      <c r="AA666" s="117"/>
      <c r="AB666" s="118"/>
    </row>
    <row r="667" ht="15.75" customHeight="1">
      <c r="M667" s="113"/>
      <c r="N667" s="113"/>
      <c r="AA667" s="117"/>
      <c r="AB667" s="118"/>
    </row>
    <row r="668" ht="15.75" customHeight="1">
      <c r="M668" s="113"/>
      <c r="N668" s="113"/>
      <c r="AA668" s="117"/>
      <c r="AB668" s="118"/>
    </row>
    <row r="669" ht="15.75" customHeight="1">
      <c r="M669" s="113"/>
      <c r="N669" s="113"/>
      <c r="AA669" s="117"/>
      <c r="AB669" s="118"/>
    </row>
    <row r="670" ht="15.75" customHeight="1">
      <c r="M670" s="113"/>
      <c r="N670" s="113"/>
      <c r="AA670" s="117"/>
      <c r="AB670" s="118"/>
    </row>
    <row r="671" ht="15.75" customHeight="1">
      <c r="M671" s="113"/>
      <c r="N671" s="113"/>
      <c r="AA671" s="117"/>
      <c r="AB671" s="118"/>
    </row>
    <row r="672" ht="15.75" customHeight="1">
      <c r="M672" s="113"/>
      <c r="N672" s="113"/>
      <c r="AA672" s="117"/>
      <c r="AB672" s="118"/>
    </row>
    <row r="673" ht="15.75" customHeight="1">
      <c r="M673" s="113"/>
      <c r="N673" s="113"/>
      <c r="AA673" s="117"/>
      <c r="AB673" s="118"/>
    </row>
    <row r="674" ht="15.75" customHeight="1">
      <c r="M674" s="113"/>
      <c r="N674" s="113"/>
      <c r="AA674" s="117"/>
      <c r="AB674" s="118"/>
    </row>
    <row r="675" ht="15.75" customHeight="1">
      <c r="M675" s="113"/>
      <c r="N675" s="113"/>
      <c r="AA675" s="117"/>
      <c r="AB675" s="118"/>
    </row>
    <row r="676" ht="15.75" customHeight="1">
      <c r="M676" s="113"/>
      <c r="N676" s="113"/>
      <c r="AA676" s="117"/>
      <c r="AB676" s="118"/>
    </row>
    <row r="677" ht="15.75" customHeight="1">
      <c r="M677" s="113"/>
      <c r="N677" s="113"/>
      <c r="AA677" s="117"/>
      <c r="AB677" s="118"/>
    </row>
    <row r="678" ht="15.75" customHeight="1">
      <c r="M678" s="113"/>
      <c r="N678" s="113"/>
      <c r="AA678" s="117"/>
      <c r="AB678" s="118"/>
    </row>
    <row r="679" ht="15.75" customHeight="1">
      <c r="M679" s="113"/>
      <c r="N679" s="113"/>
      <c r="AA679" s="117"/>
      <c r="AB679" s="118"/>
    </row>
    <row r="680" ht="15.75" customHeight="1">
      <c r="M680" s="113"/>
      <c r="N680" s="113"/>
      <c r="AA680" s="117"/>
      <c r="AB680" s="118"/>
    </row>
    <row r="681" ht="15.75" customHeight="1">
      <c r="M681" s="113"/>
      <c r="N681" s="113"/>
      <c r="AA681" s="117"/>
      <c r="AB681" s="118"/>
    </row>
    <row r="682" ht="15.75" customHeight="1">
      <c r="M682" s="113"/>
      <c r="N682" s="113"/>
      <c r="AA682" s="117"/>
      <c r="AB682" s="118"/>
    </row>
    <row r="683" ht="15.75" customHeight="1">
      <c r="M683" s="113"/>
      <c r="N683" s="113"/>
      <c r="AA683" s="117"/>
      <c r="AB683" s="118"/>
    </row>
    <row r="684" ht="15.75" customHeight="1">
      <c r="M684" s="113"/>
      <c r="N684" s="113"/>
      <c r="AA684" s="117"/>
      <c r="AB684" s="118"/>
    </row>
    <row r="685" ht="15.75" customHeight="1">
      <c r="M685" s="113"/>
      <c r="N685" s="113"/>
      <c r="AA685" s="117"/>
      <c r="AB685" s="118"/>
    </row>
    <row r="686" ht="15.75" customHeight="1">
      <c r="M686" s="113"/>
      <c r="N686" s="113"/>
      <c r="AA686" s="117"/>
      <c r="AB686" s="118"/>
    </row>
    <row r="687" ht="15.75" customHeight="1">
      <c r="M687" s="113"/>
      <c r="N687" s="113"/>
      <c r="AA687" s="117"/>
      <c r="AB687" s="118"/>
    </row>
    <row r="688" ht="15.75" customHeight="1">
      <c r="M688" s="113"/>
      <c r="N688" s="113"/>
      <c r="AA688" s="117"/>
      <c r="AB688" s="118"/>
    </row>
    <row r="689" ht="15.75" customHeight="1">
      <c r="M689" s="113"/>
      <c r="N689" s="113"/>
      <c r="AA689" s="117"/>
      <c r="AB689" s="118"/>
    </row>
    <row r="690" ht="15.75" customHeight="1">
      <c r="M690" s="113"/>
      <c r="N690" s="113"/>
      <c r="AA690" s="117"/>
      <c r="AB690" s="118"/>
    </row>
    <row r="691" ht="15.75" customHeight="1">
      <c r="M691" s="113"/>
      <c r="N691" s="113"/>
      <c r="AA691" s="117"/>
      <c r="AB691" s="118"/>
    </row>
    <row r="692" ht="15.75" customHeight="1">
      <c r="M692" s="113"/>
      <c r="N692" s="113"/>
      <c r="AA692" s="117"/>
      <c r="AB692" s="118"/>
    </row>
    <row r="693" ht="15.75" customHeight="1">
      <c r="M693" s="113"/>
      <c r="N693" s="113"/>
      <c r="AA693" s="117"/>
      <c r="AB693" s="118"/>
    </row>
    <row r="694" ht="15.75" customHeight="1">
      <c r="M694" s="113"/>
      <c r="N694" s="113"/>
      <c r="AA694" s="117"/>
      <c r="AB694" s="118"/>
    </row>
    <row r="695" ht="15.75" customHeight="1">
      <c r="M695" s="113"/>
      <c r="N695" s="113"/>
      <c r="AA695" s="117"/>
      <c r="AB695" s="118"/>
    </row>
    <row r="696" ht="15.75" customHeight="1">
      <c r="M696" s="113"/>
      <c r="N696" s="113"/>
      <c r="AA696" s="117"/>
      <c r="AB696" s="118"/>
    </row>
    <row r="697" ht="15.75" customHeight="1">
      <c r="M697" s="113"/>
      <c r="N697" s="113"/>
      <c r="AA697" s="117"/>
      <c r="AB697" s="118"/>
    </row>
    <row r="698" ht="15.75" customHeight="1">
      <c r="M698" s="113"/>
      <c r="N698" s="113"/>
      <c r="AA698" s="117"/>
      <c r="AB698" s="118"/>
    </row>
    <row r="699" ht="15.75" customHeight="1">
      <c r="M699" s="113"/>
      <c r="N699" s="113"/>
      <c r="AA699" s="117"/>
      <c r="AB699" s="118"/>
    </row>
    <row r="700" ht="15.75" customHeight="1">
      <c r="M700" s="113"/>
      <c r="N700" s="113"/>
      <c r="AA700" s="117"/>
      <c r="AB700" s="118"/>
    </row>
    <row r="701" ht="15.75" customHeight="1">
      <c r="M701" s="113"/>
      <c r="N701" s="113"/>
      <c r="AA701" s="117"/>
      <c r="AB701" s="118"/>
    </row>
    <row r="702" ht="15.75" customHeight="1">
      <c r="M702" s="113"/>
      <c r="N702" s="113"/>
      <c r="AA702" s="117"/>
      <c r="AB702" s="118"/>
    </row>
    <row r="703" ht="15.75" customHeight="1">
      <c r="M703" s="113"/>
      <c r="N703" s="113"/>
      <c r="AA703" s="117"/>
      <c r="AB703" s="118"/>
    </row>
    <row r="704" ht="15.75" customHeight="1">
      <c r="M704" s="113"/>
      <c r="N704" s="113"/>
      <c r="AA704" s="117"/>
      <c r="AB704" s="118"/>
    </row>
    <row r="705" ht="15.75" customHeight="1">
      <c r="M705" s="113"/>
      <c r="N705" s="113"/>
      <c r="AA705" s="117"/>
      <c r="AB705" s="118"/>
    </row>
    <row r="706" ht="15.75" customHeight="1">
      <c r="M706" s="113"/>
      <c r="N706" s="113"/>
      <c r="AA706" s="117"/>
      <c r="AB706" s="118"/>
    </row>
    <row r="707" ht="15.75" customHeight="1">
      <c r="M707" s="113"/>
      <c r="N707" s="113"/>
      <c r="AA707" s="117"/>
      <c r="AB707" s="118"/>
    </row>
    <row r="708" ht="15.75" customHeight="1">
      <c r="M708" s="113"/>
      <c r="N708" s="113"/>
      <c r="AA708" s="117"/>
      <c r="AB708" s="118"/>
    </row>
    <row r="709" ht="15.75" customHeight="1">
      <c r="M709" s="113"/>
      <c r="N709" s="113"/>
      <c r="AA709" s="117"/>
      <c r="AB709" s="118"/>
    </row>
    <row r="710" ht="15.75" customHeight="1">
      <c r="M710" s="113"/>
      <c r="N710" s="113"/>
      <c r="AA710" s="117"/>
      <c r="AB710" s="118"/>
    </row>
    <row r="711" ht="15.75" customHeight="1">
      <c r="M711" s="113"/>
      <c r="N711" s="113"/>
      <c r="AA711" s="117"/>
      <c r="AB711" s="118"/>
    </row>
    <row r="712" ht="15.75" customHeight="1">
      <c r="M712" s="113"/>
      <c r="N712" s="113"/>
      <c r="AA712" s="117"/>
      <c r="AB712" s="118"/>
    </row>
    <row r="713" ht="15.75" customHeight="1">
      <c r="M713" s="113"/>
      <c r="N713" s="113"/>
      <c r="AA713" s="117"/>
      <c r="AB713" s="118"/>
    </row>
    <row r="714" ht="15.75" customHeight="1">
      <c r="M714" s="113"/>
      <c r="N714" s="113"/>
      <c r="AA714" s="117"/>
      <c r="AB714" s="118"/>
    </row>
    <row r="715" ht="15.75" customHeight="1">
      <c r="M715" s="113"/>
      <c r="N715" s="113"/>
      <c r="AA715" s="117"/>
      <c r="AB715" s="118"/>
    </row>
    <row r="716" ht="15.75" customHeight="1">
      <c r="M716" s="113"/>
      <c r="N716" s="113"/>
      <c r="AA716" s="117"/>
      <c r="AB716" s="118"/>
    </row>
    <row r="717" ht="15.75" customHeight="1">
      <c r="M717" s="113"/>
      <c r="N717" s="113"/>
      <c r="AA717" s="117"/>
      <c r="AB717" s="118"/>
    </row>
    <row r="718" ht="15.75" customHeight="1">
      <c r="M718" s="113"/>
      <c r="N718" s="113"/>
      <c r="AA718" s="117"/>
      <c r="AB718" s="118"/>
    </row>
    <row r="719" ht="15.75" customHeight="1">
      <c r="M719" s="113"/>
      <c r="N719" s="113"/>
      <c r="AA719" s="117"/>
      <c r="AB719" s="118"/>
    </row>
    <row r="720" ht="15.75" customHeight="1">
      <c r="M720" s="113"/>
      <c r="N720" s="113"/>
      <c r="AA720" s="117"/>
      <c r="AB720" s="118"/>
    </row>
    <row r="721" ht="15.75" customHeight="1">
      <c r="M721" s="113"/>
      <c r="N721" s="113"/>
      <c r="AA721" s="117"/>
      <c r="AB721" s="118"/>
    </row>
    <row r="722" ht="15.75" customHeight="1">
      <c r="M722" s="113"/>
      <c r="N722" s="113"/>
      <c r="AA722" s="117"/>
      <c r="AB722" s="118"/>
    </row>
    <row r="723" ht="15.75" customHeight="1">
      <c r="M723" s="113"/>
      <c r="N723" s="113"/>
      <c r="AA723" s="117"/>
      <c r="AB723" s="118"/>
    </row>
    <row r="724" ht="15.75" customHeight="1">
      <c r="M724" s="113"/>
      <c r="N724" s="113"/>
      <c r="AA724" s="117"/>
      <c r="AB724" s="118"/>
    </row>
    <row r="725" ht="15.75" customHeight="1">
      <c r="M725" s="113"/>
      <c r="N725" s="113"/>
      <c r="AA725" s="117"/>
      <c r="AB725" s="118"/>
    </row>
    <row r="726" ht="15.75" customHeight="1">
      <c r="M726" s="113"/>
      <c r="N726" s="113"/>
      <c r="AA726" s="117"/>
      <c r="AB726" s="118"/>
    </row>
    <row r="727" ht="15.75" customHeight="1">
      <c r="M727" s="113"/>
      <c r="N727" s="113"/>
      <c r="AA727" s="117"/>
      <c r="AB727" s="118"/>
    </row>
    <row r="728" ht="15.75" customHeight="1">
      <c r="M728" s="113"/>
      <c r="N728" s="113"/>
      <c r="AA728" s="117"/>
      <c r="AB728" s="118"/>
    </row>
    <row r="729" ht="15.75" customHeight="1">
      <c r="M729" s="113"/>
      <c r="N729" s="113"/>
      <c r="AA729" s="117"/>
      <c r="AB729" s="118"/>
    </row>
    <row r="730" ht="15.75" customHeight="1">
      <c r="M730" s="113"/>
      <c r="N730" s="113"/>
      <c r="AA730" s="117"/>
      <c r="AB730" s="118"/>
    </row>
    <row r="731" ht="15.75" customHeight="1">
      <c r="M731" s="113"/>
      <c r="N731" s="113"/>
      <c r="AA731" s="117"/>
      <c r="AB731" s="118"/>
    </row>
    <row r="732" ht="15.75" customHeight="1">
      <c r="M732" s="113"/>
      <c r="N732" s="113"/>
      <c r="AA732" s="117"/>
      <c r="AB732" s="118"/>
    </row>
    <row r="733" ht="15.75" customHeight="1">
      <c r="M733" s="113"/>
      <c r="N733" s="113"/>
      <c r="AA733" s="117"/>
      <c r="AB733" s="118"/>
    </row>
    <row r="734" ht="15.75" customHeight="1">
      <c r="M734" s="113"/>
      <c r="N734" s="113"/>
      <c r="AA734" s="117"/>
      <c r="AB734" s="118"/>
    </row>
    <row r="735" ht="15.75" customHeight="1">
      <c r="M735" s="113"/>
      <c r="N735" s="113"/>
      <c r="AA735" s="117"/>
      <c r="AB735" s="118"/>
    </row>
    <row r="736" ht="15.75" customHeight="1">
      <c r="M736" s="113"/>
      <c r="N736" s="113"/>
      <c r="AA736" s="117"/>
      <c r="AB736" s="118"/>
    </row>
    <row r="737" ht="15.75" customHeight="1">
      <c r="M737" s="113"/>
      <c r="N737" s="113"/>
      <c r="AA737" s="117"/>
      <c r="AB737" s="118"/>
    </row>
    <row r="738" ht="15.75" customHeight="1">
      <c r="M738" s="113"/>
      <c r="N738" s="113"/>
      <c r="AA738" s="117"/>
      <c r="AB738" s="118"/>
    </row>
    <row r="739" ht="15.75" customHeight="1">
      <c r="M739" s="113"/>
      <c r="N739" s="113"/>
      <c r="AA739" s="117"/>
      <c r="AB739" s="118"/>
    </row>
    <row r="740" ht="15.75" customHeight="1">
      <c r="M740" s="113"/>
      <c r="N740" s="113"/>
      <c r="AA740" s="117"/>
      <c r="AB740" s="118"/>
    </row>
    <row r="741" ht="15.75" customHeight="1">
      <c r="M741" s="113"/>
      <c r="N741" s="113"/>
      <c r="AA741" s="117"/>
      <c r="AB741" s="118"/>
    </row>
    <row r="742" ht="15.75" customHeight="1">
      <c r="M742" s="113"/>
      <c r="N742" s="113"/>
      <c r="AA742" s="117"/>
      <c r="AB742" s="118"/>
    </row>
    <row r="743" ht="15.75" customHeight="1">
      <c r="M743" s="113"/>
      <c r="N743" s="113"/>
      <c r="AA743" s="117"/>
      <c r="AB743" s="118"/>
    </row>
    <row r="744" ht="15.75" customHeight="1">
      <c r="M744" s="113"/>
      <c r="N744" s="113"/>
      <c r="AA744" s="117"/>
      <c r="AB744" s="118"/>
    </row>
    <row r="745" ht="15.75" customHeight="1">
      <c r="M745" s="113"/>
      <c r="N745" s="113"/>
      <c r="AA745" s="117"/>
      <c r="AB745" s="118"/>
    </row>
    <row r="746" ht="15.75" customHeight="1">
      <c r="M746" s="113"/>
      <c r="N746" s="113"/>
      <c r="AA746" s="117"/>
      <c r="AB746" s="118"/>
    </row>
    <row r="747" ht="15.75" customHeight="1">
      <c r="M747" s="113"/>
      <c r="N747" s="113"/>
      <c r="AA747" s="117"/>
      <c r="AB747" s="118"/>
    </row>
    <row r="748" ht="15.75" customHeight="1">
      <c r="M748" s="113"/>
      <c r="N748" s="113"/>
      <c r="AA748" s="117"/>
      <c r="AB748" s="118"/>
    </row>
    <row r="749" ht="15.75" customHeight="1">
      <c r="M749" s="113"/>
      <c r="N749" s="113"/>
      <c r="AA749" s="117"/>
      <c r="AB749" s="118"/>
    </row>
    <row r="750" ht="15.75" customHeight="1">
      <c r="M750" s="113"/>
      <c r="N750" s="113"/>
      <c r="AA750" s="117"/>
      <c r="AB750" s="118"/>
    </row>
    <row r="751" ht="15.75" customHeight="1">
      <c r="M751" s="113"/>
      <c r="N751" s="113"/>
      <c r="AA751" s="117"/>
      <c r="AB751" s="118"/>
    </row>
    <row r="752" ht="15.75" customHeight="1">
      <c r="M752" s="113"/>
      <c r="N752" s="113"/>
      <c r="AA752" s="117"/>
      <c r="AB752" s="118"/>
    </row>
    <row r="753" ht="15.75" customHeight="1">
      <c r="M753" s="113"/>
      <c r="N753" s="113"/>
      <c r="AA753" s="117"/>
      <c r="AB753" s="118"/>
    </row>
    <row r="754" ht="15.75" customHeight="1">
      <c r="M754" s="113"/>
      <c r="N754" s="113"/>
      <c r="AA754" s="117"/>
      <c r="AB754" s="118"/>
    </row>
    <row r="755" ht="15.75" customHeight="1">
      <c r="M755" s="113"/>
      <c r="N755" s="113"/>
      <c r="AA755" s="117"/>
      <c r="AB755" s="118"/>
    </row>
    <row r="756" ht="15.75" customHeight="1">
      <c r="M756" s="113"/>
      <c r="N756" s="113"/>
      <c r="AA756" s="117"/>
      <c r="AB756" s="118"/>
    </row>
    <row r="757" ht="15.75" customHeight="1">
      <c r="M757" s="113"/>
      <c r="N757" s="113"/>
      <c r="AA757" s="117"/>
      <c r="AB757" s="118"/>
    </row>
    <row r="758" ht="15.75" customHeight="1">
      <c r="M758" s="113"/>
      <c r="N758" s="113"/>
      <c r="AA758" s="117"/>
      <c r="AB758" s="118"/>
    </row>
    <row r="759" ht="15.75" customHeight="1">
      <c r="M759" s="113"/>
      <c r="N759" s="113"/>
      <c r="AA759" s="117"/>
      <c r="AB759" s="118"/>
    </row>
    <row r="760" ht="15.75" customHeight="1">
      <c r="M760" s="113"/>
      <c r="N760" s="113"/>
      <c r="AA760" s="117"/>
      <c r="AB760" s="118"/>
    </row>
    <row r="761" ht="15.75" customHeight="1">
      <c r="M761" s="113"/>
      <c r="N761" s="113"/>
      <c r="AA761" s="117"/>
      <c r="AB761" s="118"/>
    </row>
    <row r="762" ht="15.75" customHeight="1">
      <c r="M762" s="113"/>
      <c r="N762" s="113"/>
      <c r="AA762" s="117"/>
      <c r="AB762" s="118"/>
    </row>
    <row r="763" ht="15.75" customHeight="1">
      <c r="M763" s="113"/>
      <c r="N763" s="113"/>
      <c r="AA763" s="117"/>
      <c r="AB763" s="118"/>
    </row>
    <row r="764" ht="15.75" customHeight="1">
      <c r="M764" s="113"/>
      <c r="N764" s="113"/>
      <c r="AA764" s="117"/>
      <c r="AB764" s="118"/>
    </row>
    <row r="765" ht="15.75" customHeight="1">
      <c r="M765" s="113"/>
      <c r="N765" s="113"/>
      <c r="AA765" s="117"/>
      <c r="AB765" s="118"/>
    </row>
    <row r="766" ht="15.75" customHeight="1">
      <c r="M766" s="113"/>
      <c r="N766" s="113"/>
      <c r="AA766" s="117"/>
      <c r="AB766" s="118"/>
    </row>
    <row r="767" ht="15.75" customHeight="1">
      <c r="M767" s="113"/>
      <c r="N767" s="113"/>
      <c r="AA767" s="117"/>
      <c r="AB767" s="118"/>
    </row>
    <row r="768" ht="15.75" customHeight="1">
      <c r="M768" s="113"/>
      <c r="N768" s="113"/>
      <c r="AA768" s="117"/>
      <c r="AB768" s="118"/>
    </row>
    <row r="769" ht="15.75" customHeight="1">
      <c r="M769" s="113"/>
      <c r="N769" s="113"/>
      <c r="AA769" s="117"/>
      <c r="AB769" s="118"/>
    </row>
    <row r="770" ht="15.75" customHeight="1">
      <c r="M770" s="113"/>
      <c r="N770" s="113"/>
      <c r="AA770" s="117"/>
      <c r="AB770" s="118"/>
    </row>
    <row r="771" ht="15.75" customHeight="1">
      <c r="M771" s="113"/>
      <c r="N771" s="113"/>
      <c r="AA771" s="117"/>
      <c r="AB771" s="118"/>
    </row>
    <row r="772" ht="15.75" customHeight="1">
      <c r="M772" s="113"/>
      <c r="N772" s="113"/>
      <c r="AA772" s="117"/>
      <c r="AB772" s="118"/>
    </row>
    <row r="773" ht="15.75" customHeight="1">
      <c r="M773" s="113"/>
      <c r="N773" s="113"/>
      <c r="AA773" s="117"/>
      <c r="AB773" s="118"/>
    </row>
    <row r="774" ht="15.75" customHeight="1">
      <c r="M774" s="113"/>
      <c r="N774" s="113"/>
      <c r="AA774" s="117"/>
      <c r="AB774" s="118"/>
    </row>
    <row r="775" ht="15.75" customHeight="1">
      <c r="M775" s="113"/>
      <c r="N775" s="113"/>
      <c r="AA775" s="117"/>
      <c r="AB775" s="118"/>
    </row>
    <row r="776" ht="15.75" customHeight="1">
      <c r="M776" s="113"/>
      <c r="N776" s="113"/>
      <c r="AA776" s="117"/>
      <c r="AB776" s="118"/>
    </row>
    <row r="777" ht="15.75" customHeight="1">
      <c r="M777" s="113"/>
      <c r="N777" s="113"/>
      <c r="AA777" s="117"/>
      <c r="AB777" s="118"/>
    </row>
    <row r="778" ht="15.75" customHeight="1">
      <c r="M778" s="113"/>
      <c r="N778" s="113"/>
      <c r="AA778" s="117"/>
      <c r="AB778" s="118"/>
    </row>
    <row r="779" ht="15.75" customHeight="1">
      <c r="M779" s="113"/>
      <c r="N779" s="113"/>
      <c r="AA779" s="117"/>
      <c r="AB779" s="118"/>
    </row>
    <row r="780" ht="15.75" customHeight="1">
      <c r="M780" s="113"/>
      <c r="N780" s="113"/>
      <c r="AA780" s="117"/>
      <c r="AB780" s="118"/>
    </row>
    <row r="781" ht="15.75" customHeight="1">
      <c r="M781" s="113"/>
      <c r="N781" s="113"/>
      <c r="AA781" s="117"/>
      <c r="AB781" s="118"/>
    </row>
    <row r="782" ht="15.75" customHeight="1">
      <c r="M782" s="113"/>
      <c r="N782" s="113"/>
      <c r="AA782" s="117"/>
      <c r="AB782" s="118"/>
    </row>
    <row r="783" ht="15.75" customHeight="1">
      <c r="M783" s="113"/>
      <c r="N783" s="113"/>
      <c r="AA783" s="117"/>
      <c r="AB783" s="118"/>
    </row>
    <row r="784" ht="15.75" customHeight="1">
      <c r="M784" s="113"/>
      <c r="N784" s="113"/>
      <c r="AA784" s="117"/>
      <c r="AB784" s="118"/>
    </row>
    <row r="785" ht="15.75" customHeight="1">
      <c r="M785" s="113"/>
      <c r="N785" s="113"/>
      <c r="AA785" s="117"/>
      <c r="AB785" s="118"/>
    </row>
    <row r="786" ht="15.75" customHeight="1">
      <c r="M786" s="113"/>
      <c r="N786" s="113"/>
      <c r="AA786" s="117"/>
      <c r="AB786" s="118"/>
    </row>
    <row r="787" ht="15.75" customHeight="1">
      <c r="M787" s="113"/>
      <c r="N787" s="113"/>
      <c r="AA787" s="117"/>
      <c r="AB787" s="118"/>
    </row>
    <row r="788" ht="15.75" customHeight="1">
      <c r="M788" s="113"/>
      <c r="N788" s="113"/>
      <c r="AA788" s="117"/>
      <c r="AB788" s="118"/>
    </row>
    <row r="789" ht="15.75" customHeight="1">
      <c r="M789" s="113"/>
      <c r="N789" s="113"/>
      <c r="AA789" s="117"/>
      <c r="AB789" s="118"/>
    </row>
    <row r="790" ht="15.75" customHeight="1">
      <c r="M790" s="113"/>
      <c r="N790" s="113"/>
      <c r="AA790" s="117"/>
      <c r="AB790" s="118"/>
    </row>
    <row r="791" ht="15.75" customHeight="1">
      <c r="M791" s="113"/>
      <c r="N791" s="113"/>
      <c r="AA791" s="117"/>
      <c r="AB791" s="118"/>
    </row>
    <row r="792" ht="15.75" customHeight="1">
      <c r="M792" s="113"/>
      <c r="N792" s="113"/>
      <c r="AA792" s="117"/>
      <c r="AB792" s="118"/>
    </row>
    <row r="793" ht="15.75" customHeight="1">
      <c r="M793" s="113"/>
      <c r="N793" s="113"/>
      <c r="AA793" s="117"/>
      <c r="AB793" s="118"/>
    </row>
    <row r="794" ht="15.75" customHeight="1">
      <c r="M794" s="113"/>
      <c r="N794" s="113"/>
      <c r="AA794" s="117"/>
      <c r="AB794" s="118"/>
    </row>
    <row r="795" ht="15.75" customHeight="1">
      <c r="M795" s="113"/>
      <c r="N795" s="113"/>
      <c r="AA795" s="117"/>
      <c r="AB795" s="118"/>
    </row>
    <row r="796" ht="15.75" customHeight="1">
      <c r="M796" s="113"/>
      <c r="N796" s="113"/>
      <c r="AA796" s="117"/>
      <c r="AB796" s="118"/>
    </row>
    <row r="797" ht="15.75" customHeight="1">
      <c r="M797" s="113"/>
      <c r="N797" s="113"/>
      <c r="AA797" s="117"/>
      <c r="AB797" s="118"/>
    </row>
    <row r="798" ht="15.75" customHeight="1">
      <c r="M798" s="113"/>
      <c r="N798" s="113"/>
      <c r="AA798" s="117"/>
      <c r="AB798" s="118"/>
    </row>
    <row r="799" ht="15.75" customHeight="1">
      <c r="M799" s="113"/>
      <c r="N799" s="113"/>
      <c r="AA799" s="117"/>
      <c r="AB799" s="118"/>
    </row>
    <row r="800" ht="15.75" customHeight="1">
      <c r="M800" s="113"/>
      <c r="N800" s="113"/>
      <c r="AA800" s="117"/>
      <c r="AB800" s="118"/>
    </row>
    <row r="801" ht="15.75" customHeight="1">
      <c r="M801" s="113"/>
      <c r="N801" s="113"/>
      <c r="AA801" s="117"/>
      <c r="AB801" s="118"/>
    </row>
    <row r="802" ht="15.75" customHeight="1">
      <c r="M802" s="113"/>
      <c r="N802" s="113"/>
      <c r="AA802" s="117"/>
      <c r="AB802" s="118"/>
    </row>
    <row r="803" ht="15.75" customHeight="1">
      <c r="M803" s="113"/>
      <c r="N803" s="113"/>
      <c r="AA803" s="117"/>
      <c r="AB803" s="118"/>
    </row>
    <row r="804" ht="15.75" customHeight="1">
      <c r="M804" s="113"/>
      <c r="N804" s="113"/>
      <c r="AA804" s="117"/>
      <c r="AB804" s="118"/>
    </row>
    <row r="805" ht="15.75" customHeight="1">
      <c r="M805" s="113"/>
      <c r="N805" s="113"/>
      <c r="AA805" s="117"/>
      <c r="AB805" s="118"/>
    </row>
    <row r="806" ht="15.75" customHeight="1">
      <c r="M806" s="113"/>
      <c r="N806" s="113"/>
      <c r="AA806" s="117"/>
      <c r="AB806" s="118"/>
    </row>
    <row r="807" ht="15.75" customHeight="1">
      <c r="M807" s="113"/>
      <c r="N807" s="113"/>
      <c r="AA807" s="117"/>
      <c r="AB807" s="118"/>
    </row>
    <row r="808" ht="15.75" customHeight="1">
      <c r="M808" s="113"/>
      <c r="N808" s="113"/>
      <c r="AA808" s="117"/>
      <c r="AB808" s="118"/>
    </row>
    <row r="809" ht="15.75" customHeight="1">
      <c r="M809" s="113"/>
      <c r="N809" s="113"/>
      <c r="AA809" s="117"/>
      <c r="AB809" s="118"/>
    </row>
    <row r="810" ht="15.75" customHeight="1">
      <c r="M810" s="113"/>
      <c r="N810" s="113"/>
      <c r="AA810" s="117"/>
      <c r="AB810" s="118"/>
    </row>
    <row r="811" ht="15.75" customHeight="1">
      <c r="M811" s="113"/>
      <c r="N811" s="113"/>
      <c r="AA811" s="117"/>
      <c r="AB811" s="118"/>
    </row>
    <row r="812" ht="15.75" customHeight="1">
      <c r="M812" s="113"/>
      <c r="N812" s="113"/>
      <c r="AA812" s="117"/>
      <c r="AB812" s="118"/>
    </row>
    <row r="813" ht="15.75" customHeight="1">
      <c r="M813" s="113"/>
      <c r="N813" s="113"/>
      <c r="AA813" s="117"/>
      <c r="AB813" s="118"/>
    </row>
    <row r="814" ht="15.75" customHeight="1">
      <c r="M814" s="113"/>
      <c r="N814" s="113"/>
      <c r="AA814" s="117"/>
      <c r="AB814" s="118"/>
    </row>
    <row r="815" ht="15.75" customHeight="1">
      <c r="M815" s="113"/>
      <c r="N815" s="113"/>
      <c r="AA815" s="117"/>
      <c r="AB815" s="118"/>
    </row>
    <row r="816" ht="15.75" customHeight="1">
      <c r="M816" s="113"/>
      <c r="N816" s="113"/>
      <c r="AA816" s="117"/>
      <c r="AB816" s="118"/>
    </row>
    <row r="817" ht="15.75" customHeight="1">
      <c r="M817" s="113"/>
      <c r="N817" s="113"/>
      <c r="AA817" s="117"/>
      <c r="AB817" s="118"/>
    </row>
    <row r="818" ht="15.75" customHeight="1">
      <c r="M818" s="113"/>
      <c r="N818" s="113"/>
      <c r="AA818" s="117"/>
      <c r="AB818" s="118"/>
    </row>
    <row r="819" ht="15.75" customHeight="1">
      <c r="M819" s="113"/>
      <c r="N819" s="113"/>
      <c r="AA819" s="117"/>
      <c r="AB819" s="118"/>
    </row>
    <row r="820" ht="15.75" customHeight="1">
      <c r="M820" s="113"/>
      <c r="N820" s="113"/>
      <c r="AA820" s="117"/>
      <c r="AB820" s="118"/>
    </row>
    <row r="821" ht="15.75" customHeight="1">
      <c r="M821" s="113"/>
      <c r="N821" s="113"/>
      <c r="AA821" s="117"/>
      <c r="AB821" s="118"/>
    </row>
    <row r="822" ht="15.75" customHeight="1">
      <c r="M822" s="113"/>
      <c r="N822" s="113"/>
      <c r="AA822" s="117"/>
      <c r="AB822" s="118"/>
    </row>
    <row r="823" ht="15.75" customHeight="1">
      <c r="M823" s="113"/>
      <c r="N823" s="113"/>
      <c r="AA823" s="117"/>
      <c r="AB823" s="118"/>
    </row>
    <row r="824" ht="15.75" customHeight="1">
      <c r="M824" s="113"/>
      <c r="N824" s="113"/>
      <c r="AA824" s="117"/>
      <c r="AB824" s="118"/>
    </row>
    <row r="825" ht="15.75" customHeight="1">
      <c r="M825" s="113"/>
      <c r="N825" s="113"/>
      <c r="AA825" s="117"/>
      <c r="AB825" s="118"/>
    </row>
    <row r="826" ht="15.75" customHeight="1">
      <c r="M826" s="113"/>
      <c r="N826" s="113"/>
      <c r="AA826" s="117"/>
      <c r="AB826" s="118"/>
    </row>
    <row r="827" ht="15.75" customHeight="1">
      <c r="M827" s="113"/>
      <c r="N827" s="113"/>
      <c r="AA827" s="117"/>
      <c r="AB827" s="118"/>
    </row>
    <row r="828" ht="15.75" customHeight="1">
      <c r="M828" s="113"/>
      <c r="N828" s="113"/>
      <c r="AA828" s="117"/>
      <c r="AB828" s="118"/>
    </row>
    <row r="829" ht="15.75" customHeight="1">
      <c r="M829" s="113"/>
      <c r="N829" s="113"/>
      <c r="AA829" s="117"/>
      <c r="AB829" s="118"/>
    </row>
    <row r="830" ht="15.75" customHeight="1">
      <c r="M830" s="113"/>
      <c r="N830" s="113"/>
      <c r="AA830" s="117"/>
      <c r="AB830" s="118"/>
    </row>
    <row r="831" ht="15.75" customHeight="1">
      <c r="M831" s="113"/>
      <c r="N831" s="113"/>
      <c r="AA831" s="117"/>
      <c r="AB831" s="118"/>
    </row>
    <row r="832" ht="15.75" customHeight="1">
      <c r="M832" s="113"/>
      <c r="N832" s="113"/>
      <c r="AA832" s="117"/>
      <c r="AB832" s="118"/>
    </row>
    <row r="833" ht="15.75" customHeight="1">
      <c r="M833" s="113"/>
      <c r="N833" s="113"/>
      <c r="AA833" s="117"/>
      <c r="AB833" s="118"/>
    </row>
    <row r="834" ht="15.75" customHeight="1">
      <c r="M834" s="113"/>
      <c r="N834" s="113"/>
      <c r="AA834" s="117"/>
      <c r="AB834" s="118"/>
    </row>
    <row r="835" ht="15.75" customHeight="1">
      <c r="M835" s="113"/>
      <c r="N835" s="113"/>
      <c r="AA835" s="117"/>
      <c r="AB835" s="118"/>
    </row>
    <row r="836" ht="15.75" customHeight="1">
      <c r="M836" s="113"/>
      <c r="N836" s="113"/>
      <c r="AA836" s="117"/>
      <c r="AB836" s="118"/>
    </row>
    <row r="837" ht="15.75" customHeight="1">
      <c r="M837" s="113"/>
      <c r="N837" s="113"/>
      <c r="AA837" s="117"/>
      <c r="AB837" s="118"/>
    </row>
    <row r="838" ht="15.75" customHeight="1">
      <c r="M838" s="113"/>
      <c r="N838" s="113"/>
      <c r="AA838" s="117"/>
      <c r="AB838" s="118"/>
    </row>
    <row r="839" ht="15.75" customHeight="1">
      <c r="M839" s="113"/>
      <c r="N839" s="113"/>
      <c r="AA839" s="117"/>
      <c r="AB839" s="118"/>
    </row>
    <row r="840" ht="15.75" customHeight="1">
      <c r="M840" s="113"/>
      <c r="N840" s="113"/>
      <c r="AA840" s="117"/>
      <c r="AB840" s="118"/>
    </row>
    <row r="841" ht="15.75" customHeight="1">
      <c r="M841" s="113"/>
      <c r="N841" s="113"/>
      <c r="AA841" s="117"/>
      <c r="AB841" s="118"/>
    </row>
    <row r="842" ht="15.75" customHeight="1">
      <c r="M842" s="113"/>
      <c r="N842" s="113"/>
      <c r="AA842" s="117"/>
      <c r="AB842" s="118"/>
    </row>
    <row r="843" ht="15.75" customHeight="1">
      <c r="M843" s="113"/>
      <c r="N843" s="113"/>
      <c r="AA843" s="117"/>
      <c r="AB843" s="118"/>
    </row>
    <row r="844" ht="15.75" customHeight="1">
      <c r="M844" s="113"/>
      <c r="N844" s="113"/>
      <c r="AA844" s="117"/>
      <c r="AB844" s="118"/>
    </row>
    <row r="845" ht="15.75" customHeight="1">
      <c r="M845" s="113"/>
      <c r="N845" s="113"/>
      <c r="AA845" s="117"/>
      <c r="AB845" s="118"/>
    </row>
    <row r="846" ht="15.75" customHeight="1">
      <c r="M846" s="113"/>
      <c r="N846" s="113"/>
      <c r="AA846" s="117"/>
      <c r="AB846" s="118"/>
    </row>
    <row r="847" ht="15.75" customHeight="1">
      <c r="M847" s="113"/>
      <c r="N847" s="113"/>
      <c r="AA847" s="117"/>
      <c r="AB847" s="118"/>
    </row>
    <row r="848" ht="15.75" customHeight="1">
      <c r="M848" s="113"/>
      <c r="N848" s="113"/>
      <c r="AA848" s="117"/>
      <c r="AB848" s="118"/>
    </row>
    <row r="849" ht="15.75" customHeight="1">
      <c r="M849" s="113"/>
      <c r="N849" s="113"/>
      <c r="AA849" s="117"/>
      <c r="AB849" s="118"/>
    </row>
    <row r="850" ht="15.75" customHeight="1">
      <c r="M850" s="113"/>
      <c r="N850" s="113"/>
      <c r="AA850" s="117"/>
      <c r="AB850" s="118"/>
    </row>
    <row r="851" ht="15.75" customHeight="1">
      <c r="M851" s="113"/>
      <c r="N851" s="113"/>
      <c r="AA851" s="117"/>
      <c r="AB851" s="118"/>
    </row>
    <row r="852" ht="15.75" customHeight="1">
      <c r="M852" s="113"/>
      <c r="N852" s="113"/>
      <c r="AA852" s="117"/>
      <c r="AB852" s="118"/>
    </row>
    <row r="853" ht="15.75" customHeight="1">
      <c r="M853" s="113"/>
      <c r="N853" s="113"/>
      <c r="AA853" s="117"/>
      <c r="AB853" s="118"/>
    </row>
    <row r="854" ht="15.75" customHeight="1">
      <c r="M854" s="113"/>
      <c r="N854" s="113"/>
      <c r="AA854" s="117"/>
      <c r="AB854" s="118"/>
    </row>
    <row r="855" ht="15.75" customHeight="1">
      <c r="M855" s="113"/>
      <c r="N855" s="113"/>
      <c r="AA855" s="117"/>
      <c r="AB855" s="118"/>
    </row>
    <row r="856" ht="15.75" customHeight="1">
      <c r="M856" s="113"/>
      <c r="N856" s="113"/>
      <c r="AA856" s="117"/>
      <c r="AB856" s="118"/>
    </row>
    <row r="857" ht="15.75" customHeight="1">
      <c r="M857" s="113"/>
      <c r="N857" s="113"/>
      <c r="AA857" s="117"/>
      <c r="AB857" s="118"/>
    </row>
    <row r="858" ht="15.75" customHeight="1">
      <c r="M858" s="113"/>
      <c r="N858" s="113"/>
      <c r="AA858" s="117"/>
      <c r="AB858" s="118"/>
    </row>
    <row r="859" ht="15.75" customHeight="1">
      <c r="M859" s="113"/>
      <c r="N859" s="113"/>
      <c r="AA859" s="117"/>
      <c r="AB859" s="118"/>
    </row>
    <row r="860" ht="15.75" customHeight="1">
      <c r="M860" s="113"/>
      <c r="N860" s="113"/>
      <c r="AA860" s="117"/>
      <c r="AB860" s="118"/>
    </row>
    <row r="861" ht="15.75" customHeight="1">
      <c r="M861" s="113"/>
      <c r="N861" s="113"/>
      <c r="AA861" s="117"/>
      <c r="AB861" s="118"/>
    </row>
    <row r="862" ht="15.75" customHeight="1">
      <c r="M862" s="113"/>
      <c r="N862" s="113"/>
      <c r="AA862" s="117"/>
      <c r="AB862" s="118"/>
    </row>
    <row r="863" ht="15.75" customHeight="1">
      <c r="M863" s="113"/>
      <c r="N863" s="113"/>
      <c r="AA863" s="117"/>
      <c r="AB863" s="118"/>
    </row>
    <row r="864" ht="15.75" customHeight="1">
      <c r="M864" s="113"/>
      <c r="N864" s="113"/>
      <c r="AA864" s="117"/>
      <c r="AB864" s="118"/>
    </row>
    <row r="865" ht="15.75" customHeight="1">
      <c r="M865" s="113"/>
      <c r="N865" s="113"/>
      <c r="AA865" s="117"/>
      <c r="AB865" s="118"/>
    </row>
    <row r="866" ht="15.75" customHeight="1">
      <c r="M866" s="113"/>
      <c r="N866" s="113"/>
      <c r="AA866" s="117"/>
      <c r="AB866" s="118"/>
    </row>
    <row r="867" ht="15.75" customHeight="1">
      <c r="M867" s="113"/>
      <c r="N867" s="113"/>
      <c r="AA867" s="117"/>
      <c r="AB867" s="118"/>
    </row>
    <row r="868" ht="15.75" customHeight="1">
      <c r="M868" s="113"/>
      <c r="N868" s="113"/>
      <c r="AA868" s="117"/>
      <c r="AB868" s="118"/>
    </row>
    <row r="869" ht="15.75" customHeight="1">
      <c r="M869" s="113"/>
      <c r="N869" s="113"/>
      <c r="AA869" s="117"/>
      <c r="AB869" s="118"/>
    </row>
    <row r="870" ht="15.75" customHeight="1">
      <c r="M870" s="113"/>
      <c r="N870" s="113"/>
      <c r="AA870" s="117"/>
      <c r="AB870" s="118"/>
    </row>
    <row r="871" ht="15.75" customHeight="1">
      <c r="M871" s="113"/>
      <c r="N871" s="113"/>
      <c r="AA871" s="117"/>
      <c r="AB871" s="118"/>
    </row>
    <row r="872" ht="15.75" customHeight="1">
      <c r="M872" s="113"/>
      <c r="N872" s="113"/>
      <c r="AA872" s="117"/>
      <c r="AB872" s="118"/>
    </row>
    <row r="873" ht="15.75" customHeight="1">
      <c r="M873" s="113"/>
      <c r="N873" s="113"/>
      <c r="AA873" s="117"/>
      <c r="AB873" s="118"/>
    </row>
    <row r="874" ht="15.75" customHeight="1">
      <c r="M874" s="113"/>
      <c r="N874" s="113"/>
      <c r="AA874" s="117"/>
      <c r="AB874" s="118"/>
    </row>
    <row r="875" ht="15.75" customHeight="1">
      <c r="M875" s="113"/>
      <c r="N875" s="113"/>
      <c r="AA875" s="117"/>
      <c r="AB875" s="118"/>
    </row>
    <row r="876" ht="15.75" customHeight="1">
      <c r="M876" s="113"/>
      <c r="N876" s="113"/>
      <c r="AA876" s="117"/>
      <c r="AB876" s="118"/>
    </row>
    <row r="877" ht="15.75" customHeight="1">
      <c r="M877" s="113"/>
      <c r="N877" s="113"/>
      <c r="AA877" s="117"/>
      <c r="AB877" s="118"/>
    </row>
    <row r="878" ht="15.75" customHeight="1">
      <c r="M878" s="113"/>
      <c r="N878" s="113"/>
      <c r="AA878" s="117"/>
      <c r="AB878" s="118"/>
    </row>
    <row r="879" ht="15.75" customHeight="1">
      <c r="M879" s="113"/>
      <c r="N879" s="113"/>
      <c r="AA879" s="117"/>
      <c r="AB879" s="118"/>
    </row>
    <row r="880" ht="15.75" customHeight="1">
      <c r="M880" s="113"/>
      <c r="N880" s="113"/>
      <c r="AA880" s="117"/>
      <c r="AB880" s="118"/>
    </row>
    <row r="881" ht="15.75" customHeight="1">
      <c r="M881" s="113"/>
      <c r="N881" s="113"/>
      <c r="AA881" s="117"/>
      <c r="AB881" s="118"/>
    </row>
    <row r="882" ht="15.75" customHeight="1">
      <c r="M882" s="113"/>
      <c r="N882" s="113"/>
      <c r="AA882" s="117"/>
      <c r="AB882" s="118"/>
    </row>
    <row r="883" ht="15.75" customHeight="1">
      <c r="M883" s="113"/>
      <c r="N883" s="113"/>
      <c r="AA883" s="117"/>
      <c r="AB883" s="118"/>
    </row>
    <row r="884" ht="15.75" customHeight="1">
      <c r="M884" s="113"/>
      <c r="N884" s="113"/>
      <c r="AA884" s="117"/>
      <c r="AB884" s="118"/>
    </row>
    <row r="885" ht="15.75" customHeight="1">
      <c r="M885" s="113"/>
      <c r="N885" s="113"/>
      <c r="AA885" s="117"/>
      <c r="AB885" s="118"/>
    </row>
    <row r="886" ht="15.75" customHeight="1">
      <c r="M886" s="113"/>
      <c r="N886" s="113"/>
      <c r="AA886" s="117"/>
      <c r="AB886" s="118"/>
    </row>
    <row r="887" ht="15.75" customHeight="1">
      <c r="M887" s="113"/>
      <c r="N887" s="113"/>
      <c r="AA887" s="117"/>
      <c r="AB887" s="118"/>
    </row>
    <row r="888" ht="15.75" customHeight="1">
      <c r="M888" s="113"/>
      <c r="N888" s="113"/>
      <c r="AA888" s="117"/>
      <c r="AB888" s="118"/>
    </row>
    <row r="889" ht="15.75" customHeight="1">
      <c r="M889" s="113"/>
      <c r="N889" s="113"/>
      <c r="AA889" s="117"/>
      <c r="AB889" s="118"/>
    </row>
    <row r="890" ht="15.75" customHeight="1">
      <c r="M890" s="113"/>
      <c r="N890" s="113"/>
      <c r="AA890" s="117"/>
      <c r="AB890" s="118"/>
    </row>
    <row r="891" ht="15.75" customHeight="1">
      <c r="M891" s="113"/>
      <c r="N891" s="113"/>
      <c r="AA891" s="117"/>
      <c r="AB891" s="118"/>
    </row>
    <row r="892" ht="15.75" customHeight="1">
      <c r="M892" s="113"/>
      <c r="N892" s="113"/>
      <c r="AA892" s="117"/>
      <c r="AB892" s="118"/>
    </row>
    <row r="893" ht="15.75" customHeight="1">
      <c r="M893" s="113"/>
      <c r="N893" s="113"/>
      <c r="AA893" s="117"/>
      <c r="AB893" s="118"/>
    </row>
    <row r="894" ht="15.75" customHeight="1">
      <c r="M894" s="113"/>
      <c r="N894" s="113"/>
      <c r="AA894" s="117"/>
      <c r="AB894" s="118"/>
    </row>
    <row r="895" ht="15.75" customHeight="1">
      <c r="M895" s="113"/>
      <c r="N895" s="113"/>
      <c r="AA895" s="117"/>
      <c r="AB895" s="118"/>
    </row>
    <row r="896" ht="15.75" customHeight="1">
      <c r="M896" s="113"/>
      <c r="N896" s="113"/>
      <c r="AA896" s="117"/>
      <c r="AB896" s="118"/>
    </row>
    <row r="897" ht="15.75" customHeight="1">
      <c r="M897" s="113"/>
      <c r="N897" s="113"/>
      <c r="AA897" s="117"/>
      <c r="AB897" s="118"/>
    </row>
    <row r="898" ht="15.75" customHeight="1">
      <c r="M898" s="113"/>
      <c r="N898" s="113"/>
      <c r="AA898" s="117"/>
      <c r="AB898" s="118"/>
    </row>
    <row r="899" ht="15.75" customHeight="1">
      <c r="M899" s="113"/>
      <c r="N899" s="113"/>
      <c r="AA899" s="117"/>
      <c r="AB899" s="118"/>
    </row>
    <row r="900" ht="15.75" customHeight="1">
      <c r="M900" s="113"/>
      <c r="N900" s="113"/>
      <c r="AA900" s="117"/>
      <c r="AB900" s="118"/>
    </row>
    <row r="901" ht="15.75" customHeight="1">
      <c r="M901" s="113"/>
      <c r="N901" s="113"/>
      <c r="AA901" s="117"/>
      <c r="AB901" s="118"/>
    </row>
    <row r="902" ht="15.75" customHeight="1">
      <c r="M902" s="113"/>
      <c r="N902" s="113"/>
      <c r="AA902" s="117"/>
      <c r="AB902" s="118"/>
    </row>
    <row r="903" ht="15.75" customHeight="1">
      <c r="M903" s="113"/>
      <c r="N903" s="113"/>
      <c r="AA903" s="117"/>
      <c r="AB903" s="118"/>
    </row>
    <row r="904" ht="15.75" customHeight="1">
      <c r="M904" s="113"/>
      <c r="N904" s="113"/>
      <c r="AA904" s="117"/>
      <c r="AB904" s="118"/>
    </row>
    <row r="905" ht="15.75" customHeight="1">
      <c r="M905" s="113"/>
      <c r="N905" s="113"/>
      <c r="AA905" s="117"/>
      <c r="AB905" s="118"/>
    </row>
    <row r="906" ht="15.75" customHeight="1">
      <c r="M906" s="113"/>
      <c r="N906" s="113"/>
      <c r="AA906" s="117"/>
      <c r="AB906" s="118"/>
    </row>
    <row r="907" ht="15.75" customHeight="1">
      <c r="M907" s="113"/>
      <c r="N907" s="113"/>
      <c r="AA907" s="117"/>
      <c r="AB907" s="118"/>
    </row>
    <row r="908" ht="15.75" customHeight="1">
      <c r="M908" s="113"/>
      <c r="N908" s="113"/>
      <c r="AA908" s="117"/>
      <c r="AB908" s="118"/>
    </row>
    <row r="909" ht="15.75" customHeight="1">
      <c r="M909" s="113"/>
      <c r="N909" s="113"/>
      <c r="AA909" s="117"/>
      <c r="AB909" s="118"/>
    </row>
    <row r="910" ht="15.75" customHeight="1">
      <c r="M910" s="113"/>
      <c r="N910" s="113"/>
      <c r="AA910" s="117"/>
      <c r="AB910" s="118"/>
    </row>
    <row r="911" ht="15.75" customHeight="1">
      <c r="M911" s="113"/>
      <c r="N911" s="113"/>
      <c r="AA911" s="117"/>
      <c r="AB911" s="118"/>
    </row>
    <row r="912" ht="15.75" customHeight="1">
      <c r="M912" s="113"/>
      <c r="N912" s="113"/>
      <c r="AA912" s="117"/>
      <c r="AB912" s="118"/>
    </row>
    <row r="913" ht="15.75" customHeight="1">
      <c r="M913" s="113"/>
      <c r="N913" s="113"/>
      <c r="AA913" s="117"/>
      <c r="AB913" s="118"/>
    </row>
    <row r="914" ht="15.75" customHeight="1">
      <c r="M914" s="113"/>
      <c r="N914" s="113"/>
      <c r="AA914" s="117"/>
      <c r="AB914" s="118"/>
    </row>
    <row r="915" ht="15.75" customHeight="1">
      <c r="M915" s="113"/>
      <c r="N915" s="113"/>
      <c r="AA915" s="117"/>
      <c r="AB915" s="118"/>
    </row>
    <row r="916" ht="15.75" customHeight="1">
      <c r="M916" s="113"/>
      <c r="N916" s="113"/>
      <c r="AA916" s="117"/>
      <c r="AB916" s="118"/>
    </row>
    <row r="917" ht="15.75" customHeight="1">
      <c r="M917" s="113"/>
      <c r="N917" s="113"/>
      <c r="AA917" s="117"/>
      <c r="AB917" s="118"/>
    </row>
    <row r="918" ht="15.75" customHeight="1">
      <c r="M918" s="113"/>
      <c r="N918" s="113"/>
      <c r="AA918" s="117"/>
      <c r="AB918" s="118"/>
    </row>
    <row r="919" ht="15.75" customHeight="1">
      <c r="M919" s="113"/>
      <c r="N919" s="113"/>
      <c r="AA919" s="117"/>
      <c r="AB919" s="118"/>
    </row>
    <row r="920" ht="15.75" customHeight="1">
      <c r="M920" s="113"/>
      <c r="N920" s="113"/>
      <c r="AA920" s="117"/>
      <c r="AB920" s="118"/>
    </row>
    <row r="921" ht="15.75" customHeight="1">
      <c r="M921" s="113"/>
      <c r="N921" s="113"/>
      <c r="AA921" s="117"/>
      <c r="AB921" s="118"/>
    </row>
    <row r="922" ht="15.75" customHeight="1">
      <c r="M922" s="113"/>
      <c r="N922" s="113"/>
      <c r="AA922" s="117"/>
      <c r="AB922" s="118"/>
    </row>
    <row r="923" ht="15.75" customHeight="1">
      <c r="M923" s="113"/>
      <c r="N923" s="113"/>
      <c r="AA923" s="117"/>
      <c r="AB923" s="118"/>
    </row>
    <row r="924" ht="15.75" customHeight="1">
      <c r="M924" s="113"/>
      <c r="N924" s="113"/>
      <c r="AA924" s="117"/>
      <c r="AB924" s="118"/>
    </row>
    <row r="925" ht="15.75" customHeight="1">
      <c r="M925" s="113"/>
      <c r="N925" s="113"/>
      <c r="AA925" s="117"/>
      <c r="AB925" s="118"/>
    </row>
    <row r="926" ht="15.75" customHeight="1">
      <c r="M926" s="113"/>
      <c r="N926" s="113"/>
      <c r="AA926" s="117"/>
      <c r="AB926" s="118"/>
    </row>
    <row r="927" ht="15.75" customHeight="1">
      <c r="M927" s="113"/>
      <c r="N927" s="113"/>
      <c r="AA927" s="117"/>
      <c r="AB927" s="118"/>
    </row>
    <row r="928" ht="15.75" customHeight="1">
      <c r="M928" s="113"/>
      <c r="N928" s="113"/>
      <c r="AA928" s="117"/>
      <c r="AB928" s="118"/>
    </row>
    <row r="929" ht="15.75" customHeight="1">
      <c r="M929" s="113"/>
      <c r="N929" s="113"/>
      <c r="AA929" s="117"/>
      <c r="AB929" s="118"/>
    </row>
    <row r="930" ht="15.75" customHeight="1">
      <c r="M930" s="113"/>
      <c r="N930" s="113"/>
      <c r="AA930" s="117"/>
      <c r="AB930" s="118"/>
    </row>
    <row r="931" ht="15.75" customHeight="1">
      <c r="M931" s="113"/>
      <c r="N931" s="113"/>
      <c r="AA931" s="117"/>
      <c r="AB931" s="118"/>
    </row>
    <row r="932" ht="15.75" customHeight="1">
      <c r="M932" s="113"/>
      <c r="N932" s="113"/>
      <c r="AA932" s="117"/>
      <c r="AB932" s="118"/>
    </row>
    <row r="933" ht="15.75" customHeight="1">
      <c r="M933" s="113"/>
      <c r="N933" s="113"/>
      <c r="AA933" s="117"/>
      <c r="AB933" s="118"/>
    </row>
    <row r="934" ht="15.75" customHeight="1">
      <c r="M934" s="113"/>
      <c r="N934" s="113"/>
      <c r="AA934" s="117"/>
      <c r="AB934" s="118"/>
    </row>
    <row r="935" ht="15.75" customHeight="1">
      <c r="M935" s="113"/>
      <c r="N935" s="113"/>
      <c r="AA935" s="117"/>
      <c r="AB935" s="118"/>
    </row>
    <row r="936" ht="15.75" customHeight="1">
      <c r="M936" s="113"/>
      <c r="N936" s="113"/>
      <c r="AA936" s="117"/>
      <c r="AB936" s="118"/>
    </row>
    <row r="937" ht="15.75" customHeight="1">
      <c r="M937" s="113"/>
      <c r="N937" s="113"/>
      <c r="AA937" s="117"/>
      <c r="AB937" s="118"/>
    </row>
    <row r="938" ht="15.75" customHeight="1">
      <c r="M938" s="113"/>
      <c r="N938" s="113"/>
      <c r="AA938" s="117"/>
      <c r="AB938" s="118"/>
    </row>
    <row r="939" ht="15.75" customHeight="1">
      <c r="M939" s="113"/>
      <c r="N939" s="113"/>
      <c r="AA939" s="117"/>
      <c r="AB939" s="118"/>
    </row>
    <row r="940" ht="15.75" customHeight="1">
      <c r="M940" s="113"/>
      <c r="N940" s="113"/>
      <c r="AA940" s="117"/>
      <c r="AB940" s="118"/>
    </row>
    <row r="941" ht="15.75" customHeight="1">
      <c r="M941" s="113"/>
      <c r="N941" s="113"/>
      <c r="AA941" s="117"/>
      <c r="AB941" s="118"/>
    </row>
    <row r="942" ht="15.75" customHeight="1">
      <c r="M942" s="113"/>
      <c r="N942" s="113"/>
      <c r="AA942" s="117"/>
      <c r="AB942" s="118"/>
    </row>
    <row r="943" ht="15.75" customHeight="1">
      <c r="M943" s="113"/>
      <c r="N943" s="113"/>
      <c r="AA943" s="117"/>
      <c r="AB943" s="118"/>
    </row>
    <row r="944" ht="15.75" customHeight="1">
      <c r="M944" s="113"/>
      <c r="N944" s="113"/>
      <c r="AA944" s="117"/>
      <c r="AB944" s="118"/>
    </row>
    <row r="945" ht="15.75" customHeight="1">
      <c r="M945" s="113"/>
      <c r="N945" s="113"/>
      <c r="AA945" s="117"/>
      <c r="AB945" s="118"/>
    </row>
    <row r="946" ht="15.75" customHeight="1">
      <c r="M946" s="113"/>
      <c r="N946" s="113"/>
      <c r="AA946" s="117"/>
      <c r="AB946" s="118"/>
    </row>
    <row r="947" ht="15.75" customHeight="1">
      <c r="M947" s="113"/>
      <c r="N947" s="113"/>
      <c r="AA947" s="117"/>
      <c r="AB947" s="118"/>
    </row>
    <row r="948" ht="15.75" customHeight="1">
      <c r="M948" s="113"/>
      <c r="N948" s="113"/>
      <c r="AA948" s="117"/>
      <c r="AB948" s="118"/>
    </row>
    <row r="949" ht="15.75" customHeight="1">
      <c r="M949" s="113"/>
      <c r="N949" s="113"/>
      <c r="AA949" s="117"/>
      <c r="AB949" s="118"/>
    </row>
    <row r="950" ht="15.75" customHeight="1">
      <c r="M950" s="113"/>
      <c r="N950" s="113"/>
      <c r="AA950" s="117"/>
      <c r="AB950" s="118"/>
    </row>
    <row r="951" ht="15.75" customHeight="1">
      <c r="M951" s="113"/>
      <c r="N951" s="113"/>
      <c r="AA951" s="117"/>
      <c r="AB951" s="118"/>
    </row>
    <row r="952" ht="15.75" customHeight="1">
      <c r="M952" s="113"/>
      <c r="N952" s="113"/>
      <c r="AA952" s="117"/>
      <c r="AB952" s="118"/>
    </row>
    <row r="953" ht="15.75" customHeight="1">
      <c r="M953" s="113"/>
      <c r="N953" s="113"/>
      <c r="AA953" s="117"/>
      <c r="AB953" s="118"/>
    </row>
    <row r="954" ht="15.75" customHeight="1">
      <c r="M954" s="113"/>
      <c r="N954" s="113"/>
      <c r="AA954" s="117"/>
      <c r="AB954" s="118"/>
    </row>
    <row r="955" ht="15.75" customHeight="1">
      <c r="M955" s="113"/>
      <c r="N955" s="113"/>
      <c r="AA955" s="117"/>
      <c r="AB955" s="118"/>
    </row>
    <row r="956" ht="15.75" customHeight="1">
      <c r="M956" s="113"/>
      <c r="N956" s="113"/>
      <c r="AA956" s="117"/>
      <c r="AB956" s="118"/>
    </row>
    <row r="957" ht="15.75" customHeight="1">
      <c r="M957" s="113"/>
      <c r="N957" s="113"/>
      <c r="AA957" s="117"/>
      <c r="AB957" s="118"/>
    </row>
    <row r="958" ht="15.75" customHeight="1">
      <c r="M958" s="113"/>
      <c r="N958" s="113"/>
      <c r="AA958" s="117"/>
      <c r="AB958" s="118"/>
    </row>
    <row r="959" ht="15.75" customHeight="1">
      <c r="M959" s="113"/>
      <c r="N959" s="113"/>
      <c r="AA959" s="117"/>
      <c r="AB959" s="118"/>
    </row>
    <row r="960" ht="15.75" customHeight="1">
      <c r="M960" s="113"/>
      <c r="N960" s="113"/>
      <c r="AA960" s="117"/>
      <c r="AB960" s="118"/>
    </row>
    <row r="961" ht="15.75" customHeight="1">
      <c r="M961" s="113"/>
      <c r="N961" s="113"/>
      <c r="AA961" s="117"/>
      <c r="AB961" s="118"/>
    </row>
    <row r="962" ht="15.75" customHeight="1">
      <c r="M962" s="113"/>
      <c r="N962" s="113"/>
      <c r="AA962" s="117"/>
      <c r="AB962" s="118"/>
    </row>
    <row r="963" ht="15.75" customHeight="1">
      <c r="M963" s="113"/>
      <c r="N963" s="113"/>
      <c r="AA963" s="117"/>
      <c r="AB963" s="118"/>
    </row>
    <row r="964" ht="15.75" customHeight="1">
      <c r="M964" s="113"/>
      <c r="N964" s="113"/>
      <c r="AA964" s="117"/>
      <c r="AB964" s="118"/>
    </row>
    <row r="965" ht="15.75" customHeight="1">
      <c r="M965" s="113"/>
      <c r="N965" s="113"/>
      <c r="AA965" s="117"/>
      <c r="AB965" s="118"/>
    </row>
    <row r="966" ht="15.75" customHeight="1">
      <c r="M966" s="113"/>
      <c r="N966" s="113"/>
      <c r="AA966" s="117"/>
      <c r="AB966" s="118"/>
    </row>
    <row r="967" ht="15.75" customHeight="1">
      <c r="M967" s="113"/>
      <c r="N967" s="113"/>
      <c r="AA967" s="117"/>
      <c r="AB967" s="118"/>
    </row>
    <row r="968" ht="15.75" customHeight="1">
      <c r="M968" s="113"/>
      <c r="N968" s="113"/>
      <c r="AA968" s="117"/>
      <c r="AB968" s="118"/>
    </row>
    <row r="969" ht="15.75" customHeight="1">
      <c r="M969" s="113"/>
      <c r="N969" s="113"/>
      <c r="AA969" s="117"/>
      <c r="AB969" s="118"/>
    </row>
    <row r="970" ht="15.75" customHeight="1">
      <c r="M970" s="113"/>
      <c r="N970" s="113"/>
      <c r="AA970" s="117"/>
      <c r="AB970" s="118"/>
    </row>
    <row r="971" ht="15.75" customHeight="1">
      <c r="M971" s="113"/>
      <c r="N971" s="113"/>
      <c r="AA971" s="117"/>
      <c r="AB971" s="118"/>
    </row>
    <row r="972" ht="15.75" customHeight="1">
      <c r="M972" s="113"/>
      <c r="N972" s="113"/>
      <c r="AA972" s="117"/>
      <c r="AB972" s="118"/>
    </row>
    <row r="973" ht="15.75" customHeight="1">
      <c r="M973" s="113"/>
      <c r="N973" s="113"/>
      <c r="AA973" s="117"/>
      <c r="AB973" s="118"/>
    </row>
    <row r="974" ht="15.75" customHeight="1">
      <c r="M974" s="113"/>
      <c r="N974" s="113"/>
      <c r="AA974" s="117"/>
      <c r="AB974" s="118"/>
    </row>
    <row r="975" ht="15.75" customHeight="1">
      <c r="M975" s="113"/>
      <c r="N975" s="113"/>
      <c r="AA975" s="117"/>
      <c r="AB975" s="118"/>
    </row>
    <row r="976" ht="15.75" customHeight="1">
      <c r="M976" s="113"/>
      <c r="N976" s="113"/>
      <c r="AA976" s="117"/>
      <c r="AB976" s="118"/>
    </row>
    <row r="977" ht="15.75" customHeight="1">
      <c r="M977" s="113"/>
      <c r="N977" s="113"/>
      <c r="AA977" s="117"/>
      <c r="AB977" s="118"/>
    </row>
    <row r="978" ht="15.75" customHeight="1">
      <c r="M978" s="113"/>
      <c r="N978" s="113"/>
      <c r="AA978" s="117"/>
      <c r="AB978" s="118"/>
    </row>
    <row r="979" ht="15.75" customHeight="1">
      <c r="M979" s="113"/>
      <c r="N979" s="113"/>
      <c r="AA979" s="117"/>
      <c r="AB979" s="118"/>
    </row>
    <row r="980" ht="15.75" customHeight="1">
      <c r="M980" s="113"/>
      <c r="N980" s="113"/>
      <c r="AA980" s="117"/>
      <c r="AB980" s="118"/>
    </row>
    <row r="981" ht="15.75" customHeight="1">
      <c r="M981" s="113"/>
      <c r="N981" s="113"/>
      <c r="AA981" s="117"/>
      <c r="AB981" s="118"/>
    </row>
    <row r="982" ht="15.75" customHeight="1">
      <c r="M982" s="113"/>
      <c r="N982" s="113"/>
      <c r="AA982" s="117"/>
      <c r="AB982" s="118"/>
    </row>
    <row r="983" ht="15.75" customHeight="1">
      <c r="M983" s="113"/>
      <c r="N983" s="113"/>
      <c r="AA983" s="117"/>
      <c r="AB983" s="118"/>
    </row>
    <row r="984" ht="15.75" customHeight="1">
      <c r="M984" s="113"/>
      <c r="N984" s="113"/>
      <c r="AA984" s="117"/>
      <c r="AB984" s="118"/>
    </row>
    <row r="985" ht="15.75" customHeight="1">
      <c r="M985" s="113"/>
      <c r="N985" s="113"/>
      <c r="AA985" s="117"/>
      <c r="AB985" s="118"/>
    </row>
    <row r="986" ht="15.75" customHeight="1">
      <c r="M986" s="113"/>
      <c r="N986" s="113"/>
      <c r="AA986" s="117"/>
      <c r="AB986" s="118"/>
    </row>
    <row r="987" ht="15.75" customHeight="1">
      <c r="M987" s="113"/>
      <c r="N987" s="113"/>
      <c r="AA987" s="117"/>
      <c r="AB987" s="118"/>
    </row>
    <row r="988" ht="15.75" customHeight="1">
      <c r="M988" s="113"/>
      <c r="N988" s="113"/>
      <c r="AA988" s="117"/>
      <c r="AB988" s="118"/>
    </row>
    <row r="989" ht="15.75" customHeight="1">
      <c r="M989" s="113"/>
      <c r="N989" s="113"/>
      <c r="AA989" s="117"/>
      <c r="AB989" s="118"/>
    </row>
    <row r="990" ht="15.75" customHeight="1">
      <c r="M990" s="113"/>
      <c r="N990" s="113"/>
      <c r="AA990" s="117"/>
      <c r="AB990" s="118"/>
    </row>
    <row r="991" ht="15.75" customHeight="1">
      <c r="M991" s="113"/>
      <c r="N991" s="113"/>
      <c r="AA991" s="117"/>
      <c r="AB991" s="118"/>
    </row>
    <row r="992" ht="15.75" customHeight="1">
      <c r="M992" s="113"/>
      <c r="N992" s="113"/>
      <c r="AA992" s="117"/>
      <c r="AB992" s="118"/>
    </row>
    <row r="993" ht="15.75" customHeight="1">
      <c r="M993" s="113"/>
      <c r="N993" s="113"/>
      <c r="AA993" s="117"/>
      <c r="AB993" s="118"/>
    </row>
    <row r="994" ht="15.75" customHeight="1">
      <c r="M994" s="113"/>
      <c r="N994" s="113"/>
      <c r="AA994" s="117"/>
      <c r="AB994" s="118"/>
    </row>
    <row r="995" ht="15.75" customHeight="1">
      <c r="M995" s="113"/>
      <c r="N995" s="113"/>
      <c r="AA995" s="117"/>
      <c r="AB995" s="118"/>
    </row>
    <row r="996" ht="15.75" customHeight="1">
      <c r="M996" s="113"/>
      <c r="N996" s="113"/>
      <c r="AA996" s="117"/>
      <c r="AB996" s="118"/>
    </row>
    <row r="997" ht="15.75" customHeight="1">
      <c r="M997" s="113"/>
      <c r="N997" s="113"/>
      <c r="AA997" s="117"/>
      <c r="AB997" s="118"/>
    </row>
    <row r="998" ht="15.75" customHeight="1">
      <c r="M998" s="113"/>
      <c r="N998" s="113"/>
      <c r="AA998" s="117"/>
      <c r="AB998" s="123"/>
    </row>
  </sheetData>
  <mergeCells count="2">
    <mergeCell ref="F2:L2"/>
    <mergeCell ref="V2:AC2"/>
  </mergeCells>
  <conditionalFormatting sqref="F9:L10 M9:N9">
    <cfRule type="expression" dxfId="6" priority="1">
      <formula>"VLOOKUP(טבלת_שדות[קבוצת שדות],Table1[#ALL],2)"</formula>
    </cfRule>
  </conditionalFormatting>
  <dataValidations>
    <dataValidation type="list" allowBlank="1" showErrorMessage="1" sqref="I1 Y1">
      <formula1>'אינדקס'!$B$13:$B$225</formula1>
    </dataValidation>
    <dataValidation type="list" allowBlank="1" sqref="V10:V100">
      <formula1>"אפשרות 1,אפשרות 2"</formula1>
    </dataValidation>
    <dataValidation type="list" allowBlank="1" sqref="M10:N998">
      <formula1>"מפתח / מנהל מערכת,בעל/ת המשרד,מנהל צוות,מנהל/ת חשבונות,חשב/ת שכר,יועץ/ת מס,מתמחה,מנהל/ת משרד,צופה / רו""ח חיצוני,לקוח (פורטל),מערכת / אוטומציה"</formula1>
    </dataValidation>
    <dataValidation allowBlank="1" showDropDown="1" sqref="H10:H100"/>
    <dataValidation type="list" allowBlank="1" sqref="G10:G100 I10:I100 W10:W100 Y10:Y100 AC10:AD100">
      <formula1>#REF!</formula1>
    </dataValidation>
  </dataValidations>
  <hyperlinks>
    <hyperlink display="מעבר לדף הבית" location="'אינדקס'!A1" ref="G1"/>
    <hyperlink display="מעבר לתהליכי עבודה" location="'תבנית'!R9:X100" ref="L1"/>
    <hyperlink display="מעבר לטבלת השדות" location="'תבנית'!F9:L100" ref="U1"/>
    <hyperlink display="מעבר לדף הבית" location="'אינדקס'!A1" ref="W1"/>
  </hyperlinks>
  <printOptions/>
  <pageMargins bottom="1.0" footer="0.0" header="0.0" left="0.75" right="0.75" top="1.0"/>
  <pageSetup orientation="landscape"/>
  <drawing r:id="rId1"/>
  <tableParts count="4">
    <tablePart r:id="rId6"/>
    <tablePart r:id="rId7"/>
    <tablePart r:id="rId8"/>
    <tablePart r:id="rId9"/>
  </tableParts>
</worksheet>
</file>